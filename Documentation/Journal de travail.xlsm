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65" windowWidth="28800" windowHeight="17535"/>
  </bookViews>
  <sheets>
    <sheet name="Journal" sheetId="1" r:id="rId1"/>
    <sheet name="Totaux" sheetId="4" r:id="rId2"/>
    <sheet name="Paramètres" sheetId="2" r:id="rId3"/>
  </sheets>
  <calcPr calcId="162913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K21" i="1"/>
  <c r="B6" i="1"/>
  <c r="B7" i="1" l="1"/>
  <c r="B8" i="1"/>
  <c r="B9" i="1"/>
  <c r="B10" i="1"/>
  <c r="B11" i="1"/>
  <c r="B12" i="1"/>
</calcChain>
</file>

<file path=xl/sharedStrings.xml><?xml version="1.0" encoding="utf-8"?>
<sst xmlns="http://schemas.openxmlformats.org/spreadsheetml/2006/main" count="51" uniqueCount="35">
  <si>
    <t>Description</t>
  </si>
  <si>
    <t>Remarques/problèmes</t>
  </si>
  <si>
    <t>Jour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</si>
  <si>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</si>
  <si>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</si>
  <si>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</si>
  <si>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</si>
  <si>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</si>
  <si>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</si>
  <si>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</si>
  <si>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</si>
  <si>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</si>
  <si>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</si>
  <si>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Temps de travail</t>
  </si>
  <si>
    <t>Lundi</t>
  </si>
  <si>
    <t>Mardi</t>
  </si>
  <si>
    <t>Mercredi</t>
  </si>
  <si>
    <t>Jeudi</t>
  </si>
  <si>
    <t>Vendredi</t>
  </si>
  <si>
    <t>Rencontrer l’expert et signer le cahier des charges</t>
  </si>
  <si>
    <t>Planification initiale</t>
  </si>
  <si>
    <t>Les serveurs tréllo ont planté et certaines données ont été perdues</t>
  </si>
  <si>
    <t xml:space="preserve">https://www.fanchcreation.eu/heures/ </t>
  </si>
  <si>
    <t>Lire le cahier des charges, et réfléchir à la meilleur façon de planifié le TPI</t>
  </si>
  <si>
    <t>Définir les différents use cases et commencer les scénarios</t>
  </si>
  <si>
    <t>Discuter avec le client sur le fonctionnement d'une partie de Fishermen Land</t>
  </si>
  <si>
    <t>Temps [période]</t>
  </si>
  <si>
    <t>Total semaine</t>
  </si>
  <si>
    <t>Mettre à jour le journal de travail, journal de bord, envoyer la planification initiale, commit le repository GitHub</t>
  </si>
  <si>
    <t>Modification de la planification initiale. Calculer le nombre de périodes nécessaires pour chaque tâche et les ajouter sur trello à l'aide de "Scrum for trello"</t>
  </si>
  <si>
    <t>En rajoutant le nombre de périodes nécessaires, j'ai pu me rendre compte que je n'avais pas bien planifié</t>
  </si>
  <si>
    <t>Commit le GitHub, envoyer les documents</t>
  </si>
  <si>
    <t>Mettre à jour le journal de travail et le journal de bord</t>
  </si>
  <si>
    <t>Illuster la page de titre à l'aide de textures trouvées sur internet et photoshop</t>
  </si>
  <si>
    <t>Compléter l'introduction, les objectifs et la planification initiale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</si>
</sst>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  <font>
      <b/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33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0" fontId="0" fillId="0" borderId="1" xfId="0" applyBorder="1" applyAlignment="1">
      <alignment horizontal="left" vertical="center" wrapText="1"/>
    </xf>
    <xf numFmtId="0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5" fillId="2" borderId="7" xfId="1" applyFill="1" applyBorder="1" applyAlignment="1" applyProtection="1">
      <alignment horizontal="center"/>
      <protection locked="0"/>
    </xf>
    <xf numFmtId="0" fontId="5" fillId="2" borderId="8" xfId="1" applyFill="1" applyBorder="1" applyAlignment="1" applyProtection="1">
      <alignment horizontal="center"/>
      <protection locked="0"/>
    </xf>
    <xf numFmtId="0" fontId="5" fillId="2" borderId="9" xfId="1" applyFill="1" applyBorder="1" applyAlignment="1" applyProtection="1">
      <alignment horizontal="center"/>
      <protection locked="0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4" fillId="3" borderId="2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68.58354039352" createdVersion="4" refreshedVersion="6" minRefreshableVersion="3" recordCount="61">
  <cacheSource type="worksheet">
    <worksheetSource ref="A1:D12" sheet="Journal"/>
  </cacheSource>
  <cacheFields count="4">
    <cacheField name="Jour" numFmtId="16">
      <sharedItems containsSemiMixedTypes="0" containsNonDate="0" containsDate="1" containsString="0" minDate="2018-01-01T00:00:00" maxDate="2018-03-08T00:00:00" count="17">
        <d v="2018-03-07T00:00:00"/>
        <d v="2018-03-06T00:00:00"/>
        <d v="2018-03-02T00:00:00"/>
        <d v="2018-03-01T00:00:00"/>
        <d v="2018-02-28T00:00:00"/>
        <d v="2018-02-27T00:00:00"/>
        <d v="2018-02-16T00:00:00"/>
        <d v="2018-02-15T00:00:00"/>
        <d v="2018-02-14T00:00:00"/>
        <d v="2018-02-13T00:00:00"/>
        <d v="2018-02-09T00:00:00"/>
        <d v="2018-02-08T00:00:00"/>
        <d v="2018-02-07T00:00:00"/>
        <d v="2018-02-06T00:00:00"/>
        <d v="2018-02-02T00:00:00"/>
        <d v="2018-02-01T00:00:00"/>
        <d v="2018-01-01T00:00:00" u="1"/>
      </sharedItems>
    </cacheField>
    <cacheField name="Semaine" numFmtId="1">
      <sharedItems containsSemiMixedTypes="0" containsString="0" containsNumber="1" containsInteger="1" minValue="5" maxValue="10"/>
    </cacheField>
    <cacheField name="Temps [h]" numFmtId="2">
      <sharedItems containsSemiMixedTypes="0" containsString="0" containsNumber="1" minValue="0.1" maxValue="3.15"/>
    </cacheField>
    <cacheField name="Type" numFmtId="0">
      <sharedItems count="4">
        <s v="Documentation"/>
        <s v="Implémentation"/>
        <s v="Analyse"/>
        <s v="Test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1">
  <r>
    <x v="0"/>
    <n v="10"/>
    <n v="0.75"/>
    <x v="0"/>
  </r>
  <r>
    <x v="1"/>
    <n v="10"/>
    <n v="1"/>
    <x v="1"/>
  </r>
  <r>
    <x v="1"/>
    <n v="10"/>
    <n v="0.75"/>
    <x v="0"/>
  </r>
  <r>
    <x v="1"/>
    <n v="10"/>
    <n v="0.5"/>
    <x v="1"/>
  </r>
  <r>
    <x v="1"/>
    <n v="10"/>
    <n v="0.5"/>
    <x v="1"/>
  </r>
  <r>
    <x v="1"/>
    <n v="10"/>
    <n v="1"/>
    <x v="1"/>
  </r>
  <r>
    <x v="1"/>
    <n v="10"/>
    <n v="0.75"/>
    <x v="1"/>
  </r>
  <r>
    <x v="2"/>
    <n v="9"/>
    <n v="0.2"/>
    <x v="1"/>
  </r>
  <r>
    <x v="2"/>
    <n v="9"/>
    <n v="0.5"/>
    <x v="1"/>
  </r>
  <r>
    <x v="2"/>
    <n v="9"/>
    <n v="1"/>
    <x v="0"/>
  </r>
  <r>
    <x v="2"/>
    <n v="9"/>
    <n v="0.3"/>
    <x v="0"/>
  </r>
  <r>
    <x v="2"/>
    <n v="9"/>
    <n v="1"/>
    <x v="0"/>
  </r>
  <r>
    <x v="3"/>
    <n v="9"/>
    <n v="3.15"/>
    <x v="0"/>
  </r>
  <r>
    <x v="4"/>
    <n v="9"/>
    <n v="1.65"/>
    <x v="1"/>
  </r>
  <r>
    <x v="5"/>
    <n v="9"/>
    <n v="0.75"/>
    <x v="0"/>
  </r>
  <r>
    <x v="5"/>
    <n v="9"/>
    <n v="0.5"/>
    <x v="0"/>
  </r>
  <r>
    <x v="5"/>
    <n v="9"/>
    <n v="1"/>
    <x v="0"/>
  </r>
  <r>
    <x v="5"/>
    <n v="9"/>
    <n v="0.1"/>
    <x v="1"/>
  </r>
  <r>
    <x v="5"/>
    <n v="9"/>
    <n v="0.35"/>
    <x v="2"/>
  </r>
  <r>
    <x v="5"/>
    <n v="9"/>
    <n v="0.5"/>
    <x v="2"/>
  </r>
  <r>
    <x v="5"/>
    <n v="9"/>
    <n v="0.65"/>
    <x v="0"/>
  </r>
  <r>
    <x v="5"/>
    <n v="9"/>
    <n v="0.35"/>
    <x v="2"/>
  </r>
  <r>
    <x v="5"/>
    <n v="9"/>
    <n v="1"/>
    <x v="0"/>
  </r>
  <r>
    <x v="6"/>
    <n v="7"/>
    <n v="1.3"/>
    <x v="0"/>
  </r>
  <r>
    <x v="6"/>
    <n v="7"/>
    <n v="0.5"/>
    <x v="1"/>
  </r>
  <r>
    <x v="6"/>
    <n v="7"/>
    <n v="0.5"/>
    <x v="2"/>
  </r>
  <r>
    <x v="6"/>
    <n v="7"/>
    <n v="0.5"/>
    <x v="3"/>
  </r>
  <r>
    <x v="7"/>
    <n v="7"/>
    <n v="0.7"/>
    <x v="0"/>
  </r>
  <r>
    <x v="7"/>
    <n v="7"/>
    <n v="1.3"/>
    <x v="2"/>
  </r>
  <r>
    <x v="7"/>
    <n v="7"/>
    <n v="1"/>
    <x v="2"/>
  </r>
  <r>
    <x v="8"/>
    <n v="7"/>
    <n v="1.5"/>
    <x v="2"/>
  </r>
  <r>
    <x v="8"/>
    <n v="7"/>
    <n v="0.75"/>
    <x v="2"/>
  </r>
  <r>
    <x v="9"/>
    <n v="7"/>
    <n v="1.1000000000000001"/>
    <x v="2"/>
  </r>
  <r>
    <x v="9"/>
    <n v="7"/>
    <n v="2"/>
    <x v="1"/>
  </r>
  <r>
    <x v="9"/>
    <n v="7"/>
    <n v="1.05"/>
    <x v="0"/>
  </r>
  <r>
    <x v="10"/>
    <n v="6"/>
    <n v="1"/>
    <x v="2"/>
  </r>
  <r>
    <x v="10"/>
    <n v="6"/>
    <n v="0.5"/>
    <x v="0"/>
  </r>
  <r>
    <x v="10"/>
    <n v="6"/>
    <n v="1"/>
    <x v="2"/>
  </r>
  <r>
    <x v="10"/>
    <n v="6"/>
    <n v="0.5"/>
    <x v="1"/>
  </r>
  <r>
    <x v="11"/>
    <n v="6"/>
    <n v="0.5"/>
    <x v="1"/>
  </r>
  <r>
    <x v="11"/>
    <n v="6"/>
    <n v="2"/>
    <x v="2"/>
  </r>
  <r>
    <x v="11"/>
    <n v="6"/>
    <n v="0.5"/>
    <x v="2"/>
  </r>
  <r>
    <x v="12"/>
    <n v="6"/>
    <n v="0.5"/>
    <x v="2"/>
  </r>
  <r>
    <x v="12"/>
    <n v="6"/>
    <n v="0.5"/>
    <x v="3"/>
  </r>
  <r>
    <x v="12"/>
    <n v="6"/>
    <n v="1"/>
    <x v="3"/>
  </r>
  <r>
    <x v="12"/>
    <n v="6"/>
    <n v="0.5"/>
    <x v="0"/>
  </r>
  <r>
    <x v="13"/>
    <n v="6"/>
    <n v="1"/>
    <x v="2"/>
  </r>
  <r>
    <x v="13"/>
    <n v="6"/>
    <n v="0.5"/>
    <x v="0"/>
  </r>
  <r>
    <x v="13"/>
    <n v="6"/>
    <n v="0.5"/>
    <x v="1"/>
  </r>
  <r>
    <x v="13"/>
    <n v="6"/>
    <n v="0.75"/>
    <x v="2"/>
  </r>
  <r>
    <x v="13"/>
    <n v="6"/>
    <n v="1"/>
    <x v="1"/>
  </r>
  <r>
    <x v="13"/>
    <n v="6"/>
    <n v="1"/>
    <x v="2"/>
  </r>
  <r>
    <x v="14"/>
    <n v="5"/>
    <n v="1"/>
    <x v="2"/>
  </r>
  <r>
    <x v="14"/>
    <n v="5"/>
    <n v="0.5"/>
    <x v="2"/>
  </r>
  <r>
    <x v="14"/>
    <n v="5"/>
    <n v="1"/>
    <x v="2"/>
  </r>
  <r>
    <x v="14"/>
    <n v="5"/>
    <n v="0.5"/>
    <x v="2"/>
  </r>
  <r>
    <x v="14"/>
    <n v="5"/>
    <n v="0.5"/>
    <x v="2"/>
  </r>
  <r>
    <x v="15"/>
    <n v="5"/>
    <n v="1"/>
    <x v="2"/>
  </r>
  <r>
    <x v="15"/>
    <n v="5"/>
    <n v="0.5"/>
    <x v="1"/>
  </r>
  <r>
    <x v="15"/>
    <n v="5"/>
    <n v="0.5"/>
    <x v="1"/>
  </r>
  <r>
    <x v="15"/>
    <n v="5"/>
    <n v="1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6" minRefreshableVersion="3" useAutoFormatting="1" itemPrintTitles="1" createdVersion="4" indent="0" showHeaders="0" outline="1" outlineData="1" multipleFieldFilters="0">
  <location ref="A3:F21" firstHeaderRow="1" firstDataRow="2" firstDataCol="1"/>
  <pivotFields count="4">
    <pivotField axis="axisRow" numFmtId="16" showAll="0">
      <items count="18">
        <item m="1" x="16"/>
        <item x="11"/>
        <item x="12"/>
        <item x="13"/>
        <item x="14"/>
        <item x="15"/>
        <item x="6"/>
        <item x="7"/>
        <item x="8"/>
        <item x="9"/>
        <item x="10"/>
        <item x="5"/>
        <item x="4"/>
        <item x="2"/>
        <item x="3"/>
        <item x="0"/>
        <item x="1"/>
        <item t="default"/>
      </items>
    </pivotField>
    <pivotField showAll="0"/>
    <pivotField dataField="1" showAll="0"/>
    <pivotField axis="axisCol" showAll="0">
      <items count="5">
        <item x="0"/>
        <item x="1"/>
        <item x="2"/>
        <item x="3"/>
        <item t="default"/>
      </items>
    </pivotField>
  </pivotFields>
  <rowFields count="1">
    <field x="0"/>
  </rowFields>
  <rowItems count="17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rowItems>
  <colFields count="1">
    <field x="3"/>
  </colFields>
  <colItems count="5">
    <i>
      <x/>
    </i>
    <i>
      <x v="1"/>
    </i>
    <i>
      <x v="2"/>
    </i>
    <i>
      <x v="3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fanchcreation.eu/heures/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K21"/>
  <sheetViews>
    <sheetView tabSelected="1" workbookViewId="0">
      <selection activeCell="E16" sqref="E16"/>
    </sheetView>
  </sheetViews>
  <sheetFormatPr baseColWidth="10" defaultColWidth="9.140625" defaultRowHeight="15" x14ac:dyDescent="0.25"/>
  <cols>
    <col min="1" max="1" width="7.85546875" style="8" bestFit="1" customWidth="1"/>
    <col min="2" max="2" width="8.140625" style="18" bestFit="1" customWidth="1"/>
    <col min="3" max="3" width="17" style="14" bestFit="1" customWidth="1"/>
    <col min="4" max="4" width="15.42578125" style="8" bestFit="1" customWidth="1"/>
    <col min="5" max="5" width="88.42578125" style="15" customWidth="1"/>
    <col min="6" max="6" width="75.140625" style="15" customWidth="1"/>
    <col min="7" max="10" width="9.140625" style="11"/>
    <col min="11" max="11" width="19.85546875" style="11" customWidth="1"/>
    <col min="12" max="16384" width="9.140625" style="11"/>
  </cols>
  <sheetData>
    <row r="1" spans="1:11" ht="24" customHeight="1" x14ac:dyDescent="0.25">
      <c r="A1" s="6" t="s">
        <v>2</v>
      </c>
      <c r="B1" s="16" t="s">
        <v>11</v>
      </c>
      <c r="C1" s="9" t="s">
        <v>26</v>
      </c>
      <c r="D1" s="6" t="s">
        <v>3</v>
      </c>
      <c r="E1" s="10" t="s">
        <v>0</v>
      </c>
      <c r="F1" s="10" t="s">
        <v>1</v>
      </c>
    </row>
    <row r="2" spans="1:11" x14ac:dyDescent="0.25">
      <c r="A2" s="7">
        <v>43210</v>
      </c>
      <c r="B2" s="17">
        <f t="shared" ref="B2:B12" si="0">WEEKNUM(A2)</f>
        <v>16</v>
      </c>
      <c r="C2" s="20">
        <v>0.5</v>
      </c>
      <c r="D2" s="12" t="s">
        <v>6</v>
      </c>
      <c r="E2" s="19" t="s">
        <v>32</v>
      </c>
      <c r="F2" s="13"/>
    </row>
    <row r="3" spans="1:11" x14ac:dyDescent="0.25">
      <c r="A3" s="7">
        <v>43210</v>
      </c>
      <c r="B3" s="17">
        <f t="shared" si="0"/>
        <v>16</v>
      </c>
      <c r="C3" s="20">
        <v>0.5</v>
      </c>
      <c r="D3" s="12" t="s">
        <v>6</v>
      </c>
      <c r="E3" s="19" t="s">
        <v>31</v>
      </c>
      <c r="F3" s="13"/>
    </row>
    <row r="4" spans="1:11" x14ac:dyDescent="0.25">
      <c r="A4" s="7">
        <v>43210</v>
      </c>
      <c r="B4" s="17">
        <f t="shared" si="0"/>
        <v>16</v>
      </c>
      <c r="C4" s="20">
        <v>1</v>
      </c>
      <c r="D4" s="12" t="s">
        <v>5</v>
      </c>
      <c r="E4" s="19" t="s">
        <v>34</v>
      </c>
      <c r="F4" s="13"/>
    </row>
    <row r="5" spans="1:11" ht="30" x14ac:dyDescent="0.25">
      <c r="A5" s="7">
        <v>43210</v>
      </c>
      <c r="B5" s="17">
        <f t="shared" si="0"/>
        <v>16</v>
      </c>
      <c r="C5" s="20">
        <v>1.5</v>
      </c>
      <c r="D5" s="12" t="s">
        <v>5</v>
      </c>
      <c r="E5" s="19" t="s">
        <v>29</v>
      </c>
      <c r="F5" s="13" t="s">
        <v>30</v>
      </c>
    </row>
    <row r="6" spans="1:11" x14ac:dyDescent="0.25">
      <c r="A6" s="7">
        <v>43210</v>
      </c>
      <c r="B6" s="17">
        <f t="shared" si="0"/>
        <v>16</v>
      </c>
      <c r="C6" s="20">
        <v>2.5</v>
      </c>
      <c r="D6" s="12" t="s">
        <v>8</v>
      </c>
      <c r="E6" s="19" t="s">
        <v>33</v>
      </c>
      <c r="F6" s="13"/>
    </row>
    <row r="7" spans="1:11" ht="30" x14ac:dyDescent="0.25">
      <c r="A7" s="7">
        <v>43209</v>
      </c>
      <c r="B7" s="17">
        <f t="shared" si="0"/>
        <v>16</v>
      </c>
      <c r="C7" s="20">
        <v>0.5</v>
      </c>
      <c r="D7" s="12" t="s">
        <v>6</v>
      </c>
      <c r="E7" s="19" t="s">
        <v>28</v>
      </c>
      <c r="F7" s="13"/>
    </row>
    <row r="8" spans="1:11" x14ac:dyDescent="0.25">
      <c r="A8" s="7">
        <v>43209</v>
      </c>
      <c r="B8" s="17">
        <f t="shared" si="0"/>
        <v>16</v>
      </c>
      <c r="C8" s="20">
        <v>1</v>
      </c>
      <c r="D8" s="12" t="s">
        <v>6</v>
      </c>
      <c r="E8" s="19" t="s">
        <v>25</v>
      </c>
      <c r="F8" s="13"/>
    </row>
    <row r="9" spans="1:11" x14ac:dyDescent="0.25">
      <c r="A9" s="7">
        <v>43209</v>
      </c>
      <c r="B9" s="17">
        <f t="shared" si="0"/>
        <v>16</v>
      </c>
      <c r="C9" s="20">
        <v>2</v>
      </c>
      <c r="D9" s="12" t="s">
        <v>6</v>
      </c>
      <c r="E9" s="19" t="s">
        <v>24</v>
      </c>
      <c r="F9" s="13"/>
    </row>
    <row r="10" spans="1:11" x14ac:dyDescent="0.25">
      <c r="A10" s="7">
        <v>43209</v>
      </c>
      <c r="B10" s="17">
        <f t="shared" si="0"/>
        <v>16</v>
      </c>
      <c r="C10" s="20">
        <v>1</v>
      </c>
      <c r="D10" s="12" t="s">
        <v>5</v>
      </c>
      <c r="E10" s="19" t="s">
        <v>23</v>
      </c>
      <c r="F10" s="13"/>
    </row>
    <row r="11" spans="1:11" x14ac:dyDescent="0.25">
      <c r="A11" s="7">
        <v>43209</v>
      </c>
      <c r="B11" s="17">
        <f t="shared" si="0"/>
        <v>16</v>
      </c>
      <c r="C11" s="20">
        <v>2.5</v>
      </c>
      <c r="D11" s="12" t="s">
        <v>5</v>
      </c>
      <c r="E11" s="19" t="s">
        <v>20</v>
      </c>
      <c r="F11" s="13" t="s">
        <v>21</v>
      </c>
    </row>
    <row r="12" spans="1:11" x14ac:dyDescent="0.25">
      <c r="A12" s="7">
        <v>43209</v>
      </c>
      <c r="B12" s="17">
        <f t="shared" si="0"/>
        <v>16</v>
      </c>
      <c r="C12" s="20">
        <v>1</v>
      </c>
      <c r="D12" s="12" t="s">
        <v>5</v>
      </c>
      <c r="E12" s="19" t="s">
        <v>19</v>
      </c>
      <c r="F12" s="13"/>
    </row>
    <row r="13" spans="1:11" ht="15.75" x14ac:dyDescent="0.25">
      <c r="I13" s="27" t="s">
        <v>13</v>
      </c>
      <c r="J13" s="28"/>
      <c r="K13" s="28"/>
    </row>
    <row r="14" spans="1:11" x14ac:dyDescent="0.25">
      <c r="I14" s="29" t="s">
        <v>14</v>
      </c>
      <c r="J14" s="30"/>
      <c r="K14" s="20">
        <v>0</v>
      </c>
    </row>
    <row r="15" spans="1:11" x14ac:dyDescent="0.25">
      <c r="I15" s="31" t="s">
        <v>15</v>
      </c>
      <c r="J15" s="32"/>
      <c r="K15" s="20">
        <v>8</v>
      </c>
    </row>
    <row r="16" spans="1:11" x14ac:dyDescent="0.25">
      <c r="I16" s="31" t="s">
        <v>16</v>
      </c>
      <c r="J16" s="32"/>
      <c r="K16" s="20">
        <v>6</v>
      </c>
    </row>
    <row r="17" spans="9:11" x14ac:dyDescent="0.25">
      <c r="I17" s="31" t="s">
        <v>17</v>
      </c>
      <c r="J17" s="32"/>
      <c r="K17" s="20">
        <v>9</v>
      </c>
    </row>
    <row r="18" spans="9:11" ht="15.75" thickBot="1" x14ac:dyDescent="0.3">
      <c r="I18" s="25" t="s">
        <v>18</v>
      </c>
      <c r="J18" s="26"/>
      <c r="K18" s="20">
        <v>7</v>
      </c>
    </row>
    <row r="19" spans="9:11" ht="15.75" thickBot="1" x14ac:dyDescent="0.3">
      <c r="I19" s="22" t="s">
        <v>22</v>
      </c>
      <c r="J19" s="23"/>
      <c r="K19" s="24"/>
    </row>
    <row r="21" spans="9:11" x14ac:dyDescent="0.25">
      <c r="I21" s="21" t="s">
        <v>27</v>
      </c>
      <c r="J21" s="21"/>
      <c r="K21" s="11">
        <f>SUM(K14:K18)</f>
        <v>30</v>
      </c>
    </row>
  </sheetData>
  <sheetProtection selectLockedCells="1"/>
  <mergeCells count="8">
    <mergeCell ref="I21:J21"/>
    <mergeCell ref="I19:K19"/>
    <mergeCell ref="I18:J18"/>
    <mergeCell ref="I13:K13"/>
    <mergeCell ref="I14:J14"/>
    <mergeCell ref="I15:J15"/>
    <mergeCell ref="I16:J16"/>
    <mergeCell ref="I17:J17"/>
  </mergeCells>
  <hyperlinks>
    <hyperlink ref="I19" r:id="rId1"/>
  </hyperlinks>
  <pageMargins left="0.7" right="0.7" top="0.75" bottom="0.75" header="0.3" footer="0.3"/>
  <pageSetup paperSize="152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F21"/>
  <sheetViews>
    <sheetView workbookViewId="0">
      <selection activeCell="C18" sqref="C18"/>
    </sheetView>
  </sheetViews>
  <sheetFormatPr baseColWidth="10" defaultRowHeight="15" x14ac:dyDescent="0.25"/>
  <cols>
    <col min="1" max="1" width="19.85546875" bestFit="1" customWidth="1"/>
    <col min="2" max="2" width="14.7109375" bestFit="1" customWidth="1"/>
    <col min="3" max="3" width="15.42578125" bestFit="1" customWidth="1"/>
    <col min="4" max="4" width="8" bestFit="1" customWidth="1"/>
    <col min="5" max="5" width="5.5703125" bestFit="1" customWidth="1"/>
    <col min="6" max="6" width="12.57031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6" x14ac:dyDescent="0.25">
      <c r="A3" s="4" t="s">
        <v>12</v>
      </c>
    </row>
    <row r="4" spans="1:6" x14ac:dyDescent="0.25">
      <c r="B4" t="s">
        <v>8</v>
      </c>
      <c r="C4" t="s">
        <v>6</v>
      </c>
      <c r="D4" t="s">
        <v>5</v>
      </c>
      <c r="E4" t="s">
        <v>7</v>
      </c>
      <c r="F4" t="s">
        <v>10</v>
      </c>
    </row>
    <row r="5" spans="1:6" x14ac:dyDescent="0.25">
      <c r="A5" s="5">
        <v>43139</v>
      </c>
      <c r="B5" s="3"/>
      <c r="C5" s="3">
        <v>0.5</v>
      </c>
      <c r="D5" s="3">
        <v>2.5</v>
      </c>
      <c r="E5" s="3"/>
      <c r="F5" s="3">
        <v>3</v>
      </c>
    </row>
    <row r="6" spans="1:6" x14ac:dyDescent="0.25">
      <c r="A6" s="5">
        <v>43138</v>
      </c>
      <c r="B6" s="3">
        <v>0.5</v>
      </c>
      <c r="C6" s="3"/>
      <c r="D6" s="3">
        <v>0.5</v>
      </c>
      <c r="E6" s="3">
        <v>1.5</v>
      </c>
      <c r="F6" s="3">
        <v>2.5</v>
      </c>
    </row>
    <row r="7" spans="1:6" x14ac:dyDescent="0.25">
      <c r="A7" s="5">
        <v>43137</v>
      </c>
      <c r="B7" s="3">
        <v>0.5</v>
      </c>
      <c r="C7" s="3">
        <v>1.5</v>
      </c>
      <c r="D7" s="3">
        <v>2.75</v>
      </c>
      <c r="E7" s="3"/>
      <c r="F7" s="3">
        <v>4.75</v>
      </c>
    </row>
    <row r="8" spans="1:6" x14ac:dyDescent="0.25">
      <c r="A8" s="5">
        <v>43133</v>
      </c>
      <c r="B8" s="3"/>
      <c r="C8" s="3"/>
      <c r="D8" s="3">
        <v>3.5</v>
      </c>
      <c r="E8" s="3"/>
      <c r="F8" s="3">
        <v>3.5</v>
      </c>
    </row>
    <row r="9" spans="1:6" x14ac:dyDescent="0.25">
      <c r="A9" s="5">
        <v>43132</v>
      </c>
      <c r="B9" s="3"/>
      <c r="C9" s="3">
        <v>1</v>
      </c>
      <c r="D9" s="3">
        <v>2</v>
      </c>
      <c r="E9" s="3"/>
      <c r="F9" s="3">
        <v>3</v>
      </c>
    </row>
    <row r="10" spans="1:6" x14ac:dyDescent="0.25">
      <c r="A10" s="5">
        <v>43147</v>
      </c>
      <c r="B10" s="3">
        <v>1.3</v>
      </c>
      <c r="C10" s="3">
        <v>0.5</v>
      </c>
      <c r="D10" s="3">
        <v>0.5</v>
      </c>
      <c r="E10" s="3">
        <v>0.5</v>
      </c>
      <c r="F10" s="3">
        <v>2.8</v>
      </c>
    </row>
    <row r="11" spans="1:6" x14ac:dyDescent="0.25">
      <c r="A11" s="5">
        <v>43146</v>
      </c>
      <c r="B11" s="3">
        <v>0.7</v>
      </c>
      <c r="C11" s="3"/>
      <c r="D11" s="3">
        <v>2.2999999999999998</v>
      </c>
      <c r="E11" s="3"/>
      <c r="F11" s="3">
        <v>3</v>
      </c>
    </row>
    <row r="12" spans="1:6" x14ac:dyDescent="0.25">
      <c r="A12" s="5">
        <v>43145</v>
      </c>
      <c r="B12" s="3"/>
      <c r="C12" s="3"/>
      <c r="D12" s="3">
        <v>2.25</v>
      </c>
      <c r="E12" s="3"/>
      <c r="F12" s="3">
        <v>2.25</v>
      </c>
    </row>
    <row r="13" spans="1:6" x14ac:dyDescent="0.25">
      <c r="A13" s="5">
        <v>43144</v>
      </c>
      <c r="B13" s="3">
        <v>1.05</v>
      </c>
      <c r="C13" s="3">
        <v>2</v>
      </c>
      <c r="D13" s="3">
        <v>1.1000000000000001</v>
      </c>
      <c r="E13" s="3"/>
      <c r="F13" s="3">
        <v>4.1500000000000004</v>
      </c>
    </row>
    <row r="14" spans="1:6" x14ac:dyDescent="0.25">
      <c r="A14" s="5">
        <v>43140</v>
      </c>
      <c r="B14" s="3">
        <v>0.5</v>
      </c>
      <c r="C14" s="3">
        <v>0.5</v>
      </c>
      <c r="D14" s="3">
        <v>2</v>
      </c>
      <c r="E14" s="3"/>
      <c r="F14" s="3">
        <v>3</v>
      </c>
    </row>
    <row r="15" spans="1:6" x14ac:dyDescent="0.25">
      <c r="A15" s="5">
        <v>43158</v>
      </c>
      <c r="B15" s="3">
        <v>3.9</v>
      </c>
      <c r="C15" s="3">
        <v>0.1</v>
      </c>
      <c r="D15" s="3">
        <v>1.2</v>
      </c>
      <c r="E15" s="3"/>
      <c r="F15" s="3">
        <v>5.2</v>
      </c>
    </row>
    <row r="16" spans="1:6" x14ac:dyDescent="0.25">
      <c r="A16" s="5">
        <v>43159</v>
      </c>
      <c r="B16" s="3"/>
      <c r="C16" s="3">
        <v>1.65</v>
      </c>
      <c r="D16" s="3"/>
      <c r="E16" s="3"/>
      <c r="F16" s="3">
        <v>1.65</v>
      </c>
    </row>
    <row r="17" spans="1:6" x14ac:dyDescent="0.25">
      <c r="A17" s="5">
        <v>43161</v>
      </c>
      <c r="B17" s="3">
        <v>2.2999999999999998</v>
      </c>
      <c r="C17" s="3">
        <v>0.7</v>
      </c>
      <c r="D17" s="3"/>
      <c r="E17" s="3"/>
      <c r="F17" s="3">
        <v>3</v>
      </c>
    </row>
    <row r="18" spans="1:6" x14ac:dyDescent="0.25">
      <c r="A18" s="5">
        <v>43160</v>
      </c>
      <c r="B18" s="3">
        <v>3.15</v>
      </c>
      <c r="C18" s="3"/>
      <c r="D18" s="3"/>
      <c r="E18" s="3"/>
      <c r="F18" s="3">
        <v>3.15</v>
      </c>
    </row>
    <row r="19" spans="1:6" x14ac:dyDescent="0.25">
      <c r="A19" s="5">
        <v>43166</v>
      </c>
      <c r="B19" s="3">
        <v>0.75</v>
      </c>
      <c r="C19" s="3"/>
      <c r="D19" s="3"/>
      <c r="E19" s="3"/>
      <c r="F19" s="3">
        <v>0.75</v>
      </c>
    </row>
    <row r="20" spans="1:6" x14ac:dyDescent="0.25">
      <c r="A20" s="5">
        <v>43165</v>
      </c>
      <c r="B20" s="3">
        <v>0.75</v>
      </c>
      <c r="C20" s="3">
        <v>3.75</v>
      </c>
      <c r="D20" s="3"/>
      <c r="E20" s="3"/>
      <c r="F20" s="3">
        <v>4.5</v>
      </c>
    </row>
    <row r="21" spans="1:6" x14ac:dyDescent="0.25">
      <c r="A21" s="5" t="s">
        <v>10</v>
      </c>
      <c r="B21" s="3">
        <v>15.4</v>
      </c>
      <c r="C21" s="3">
        <v>12.2</v>
      </c>
      <c r="D21" s="3">
        <v>20.6</v>
      </c>
      <c r="E21" s="3">
        <v>2</v>
      </c>
      <c r="F21" s="3">
        <v>50.2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4</v>
      </c>
    </row>
    <row r="2" spans="1:1" x14ac:dyDescent="0.25">
      <c r="A2" s="1" t="s">
        <v>5</v>
      </c>
    </row>
    <row r="3" spans="1:1" x14ac:dyDescent="0.25">
      <c r="A3" s="1" t="s">
        <v>6</v>
      </c>
    </row>
    <row r="4" spans="1:1" x14ac:dyDescent="0.25">
      <c r="A4" s="1" t="s">
        <v>7</v>
      </c>
    </row>
    <row r="5" spans="1:1" x14ac:dyDescent="0.25">
      <c r="A5" s="1" t="s">
        <v>8</v>
      </c>
    </row>
    <row r="6" spans="1:1" x14ac:dyDescent="0.25">
      <c r="A6" s="1" t="s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2018-05-09T12:08:33Z</dcterms:modified>
</cp:coreProperties>
</file>