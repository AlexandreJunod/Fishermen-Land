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13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 l="1"/>
  <c r="B18" i="1"/>
  <c r="B19" i="1" l="1"/>
  <c r="B20" i="1"/>
  <c r="B21" i="1"/>
  <c r="B22" i="1"/>
  <c r="B23" i="1" l="1"/>
  <c r="B24" i="1"/>
  <c r="B25" i="1"/>
  <c r="B26" i="1" l="1"/>
  <c r="B27" i="1"/>
  <c r="B28" i="1"/>
  <c r="B29" i="1"/>
  <c r="K45" i="1"/>
  <c r="B30" i="1"/>
  <c r="B31" i="1" l="1"/>
  <c r="B32" i="1"/>
  <c r="B33" i="1"/>
  <c r="B34" i="1"/>
  <c r="B35" i="1"/>
  <c r="B36" i="1"/>
</calcChain>
</file>

<file path=xl/sharedStrings.xml><?xml version="1.0" encoding="utf-8"?>
<sst xmlns="http://schemas.openxmlformats.org/spreadsheetml/2006/main" count="104" uniqueCount="65">
  <si>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</si>
  <si>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</si>
  <si>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</si>
  <si>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</si>
  <si>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</si>
  <si>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</si>
  <si>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</si>
  <si>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</si>
  <si>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</si>
  <si>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</si>
  <si>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</si>
  <si>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</si>
  <si>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</si>
  <si>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</si>
  <si>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</si>
  <si>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</si>
  <si>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</si>
  <si>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</si>
  <si>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</si>
  <si>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</si>
  <si>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</si>
  <si>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</si>
  <si>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</si>
  <si>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</si>
  <si>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</si>
  <si>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</si>
  <si>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</si>
  <si>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</si>
  <si>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</si>
  <si>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</si>
  <si>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</si>
  <si>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</si>
  <si>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</si>
  <si>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</si>
  <si>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</si>
  <si>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</si>
  <si>
    <t>Créer le MCD et la base de données</t>
  </si>
  <si>
    <t>Réflexion sur la manière de gérer les scores et la façon de créer une place. Ce point sera surement repris dans la "Particularité 1" se trouvant dans la documentation.</t>
  </si>
  <si>
    <t>Gérer le système de connexion</t>
  </si>
  <si>
    <t>J'ai repris des bouts de code déjà existant, commenter et modifier certaines fonctions</t>
  </si>
  <si>
    <t>Lister les differentes parties disponibles et ajout des boutons pour rejoindre une partie</t>
  </si>
  <si>
    <t>Quelques changements dans la base de donnée ont étés faits. Lors de la réalisation je me suis rendu compte qu'on ne pouvait pas gérer correctement les paramétrages d'une partie</t>
  </si>
  <si>
    <t>Reprendre un MLD et MCD à jour, ajouter les maquettes, scénarios et uses cases</t>
  </si>
  <si>
    <t>Je n'ai pas trouvé ce que je recherchais, j'ai donc utiliser une répétition. Afin de gérer ce problème je relirais le code qui avait été utiliser pour faire un "Puissance 4", celui-ci comporte ce dont j'ai besoin</t>
  </si>
  <si>
    <t>Illustrer la vue d'ensemble</t>
  </si>
  <si>
    <t>Recherches en rapport avec les array_push afin d'ajouter une valeur dans un tableau et éviter la répétition et tenir a jour le journal de travail et de bord, mettre à jour le trello et les tâches accomplies</t>
  </si>
  <si>
    <t xml:space="preserve">Fournir la possiblité de paramétrer </t>
  </si>
  <si>
    <t>Renomer des variables, refaire les fonctions et mieux organiser l'éxecution du code</t>
  </si>
  <si>
    <t>Changer la manière d'afficher les partie afin de pouvoir garder dans un tableau toute les informations mais en affichant seulement au format voulu</t>
  </si>
  <si>
    <t>J'ai essayé pendant un long moment de différencier une partie vide et une partie pleine par du code à l'aide de foreach, mais il était plus simple de le faire par quette SQL et ça fonctionne correctement</t>
  </si>
  <si>
    <t>Tenir a jour le journal de travail</t>
  </si>
  <si>
    <t>Recherches sur le fonctionnement des requêtes SQL dans un MVC afin de pouvoir executer et récupérer plusieurs valeurs dans une seule fonction</t>
  </si>
  <si>
    <t>Au final j'ai fait à l'aide de plusieurs requêtes, pour éviter d'avoir a mettre de la logiqe dans le model</t>
  </si>
  <si>
    <t>Modification de la base de donnée</t>
  </si>
  <si>
    <t>Préparation pour la demo</t>
  </si>
  <si>
    <t>Demo et discussion avec le chef de projet sur la doc</t>
  </si>
  <si>
    <t>Création de données par script dans la base de donnée afin de mieux tester le jeu</t>
  </si>
  <si>
    <t>Gérer les messages d'erreur</t>
  </si>
  <si>
    <t>Mettre à jour le journal de travail et de bord</t>
  </si>
  <si>
    <t>Modifications de la doc selon les retours reçus</t>
  </si>
  <si>
    <t>Révision de la planification initiale</t>
  </si>
  <si>
    <t xml:space="preserve">Commencer à prendre les données nécessaires afin d'afficher une partie </t>
  </si>
  <si>
    <t>Préparer et rendre la documentation et le journal de travail au format PDF</t>
  </si>
  <si>
    <t>Relire la doc, le trello et les mails afin de s'assurer que tout à été fait correctement et qu'aucune tâche n'a été oubliée</t>
  </si>
  <si>
    <t>La démo du 18.05 n'était pas citée dans le journal de bord et certains éléments n'étaient pas à jour sur le trello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</si>
</sst>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6" fillId="0" borderId="0" xfId="0" applyFont="1" applyFill="1"/>
    <xf numFmtId="0" fontId="7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69"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42.383370370371" createdVersion="4" refreshedVersion="6" minRefreshableVersion="3" recordCount="35">
  <cacheSource type="worksheet">
    <worksheetSource ref="A1:D36" sheet="Journal"/>
  </cacheSource>
  <cacheFields count="4">
    <cacheField name="Jour" numFmtId="16">
      <sharedItems containsSemiMixedTypes="0" containsNonDate="0" containsDate="1" containsString="0" minDate="2018-01-01T00:00:00" maxDate="2018-05-23T00:00:00" count="24">
        <d v="2018-05-22T00:00:00"/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1"/>
    </cacheField>
    <cacheField name="Temps [période]" numFmtId="0">
      <sharedItems containsSemiMixedTypes="0" containsString="0" containsNumber="1" minValue="0.5" maxValue="5" count="9">
        <n v="0.5"/>
        <n v="1.5"/>
        <n v="1"/>
        <n v="0.75"/>
        <n v="2.5"/>
        <n v="3.5"/>
        <n v="3"/>
        <n v="5"/>
        <n v="2"/>
      </sharedItems>
    </cacheField>
    <cacheField name="Type" numFmtId="0">
      <sharedItems count="4">
        <s v="Documentation"/>
        <s v="Implémentation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n v="21"/>
    <x v="0"/>
    <x v="0"/>
  </r>
  <r>
    <x v="1"/>
    <n v="20"/>
    <x v="0"/>
    <x v="0"/>
  </r>
  <r>
    <x v="1"/>
    <n v="20"/>
    <x v="0"/>
    <x v="0"/>
  </r>
  <r>
    <x v="1"/>
    <n v="20"/>
    <x v="1"/>
    <x v="0"/>
  </r>
  <r>
    <x v="1"/>
    <n v="20"/>
    <x v="2"/>
    <x v="1"/>
  </r>
  <r>
    <x v="1"/>
    <n v="20"/>
    <x v="0"/>
    <x v="0"/>
  </r>
  <r>
    <x v="1"/>
    <n v="20"/>
    <x v="1"/>
    <x v="1"/>
  </r>
  <r>
    <x v="1"/>
    <n v="20"/>
    <x v="0"/>
    <x v="1"/>
  </r>
  <r>
    <x v="1"/>
    <n v="20"/>
    <x v="0"/>
    <x v="1"/>
  </r>
  <r>
    <x v="1"/>
    <n v="20"/>
    <x v="0"/>
    <x v="1"/>
  </r>
  <r>
    <x v="2"/>
    <n v="20"/>
    <x v="0"/>
    <x v="1"/>
  </r>
  <r>
    <x v="2"/>
    <n v="20"/>
    <x v="0"/>
    <x v="1"/>
  </r>
  <r>
    <x v="2"/>
    <n v="20"/>
    <x v="0"/>
    <x v="0"/>
  </r>
  <r>
    <x v="2"/>
    <n v="20"/>
    <x v="3"/>
    <x v="1"/>
  </r>
  <r>
    <x v="2"/>
    <n v="20"/>
    <x v="4"/>
    <x v="1"/>
  </r>
  <r>
    <x v="2"/>
    <n v="20"/>
    <x v="5"/>
    <x v="1"/>
  </r>
  <r>
    <x v="2"/>
    <n v="20"/>
    <x v="3"/>
    <x v="0"/>
  </r>
  <r>
    <x v="3"/>
    <n v="20"/>
    <x v="0"/>
    <x v="1"/>
  </r>
  <r>
    <x v="3"/>
    <n v="20"/>
    <x v="2"/>
    <x v="0"/>
  </r>
  <r>
    <x v="3"/>
    <n v="20"/>
    <x v="6"/>
    <x v="1"/>
  </r>
  <r>
    <x v="3"/>
    <n v="20"/>
    <x v="1"/>
    <x v="1"/>
  </r>
  <r>
    <x v="4"/>
    <n v="20"/>
    <x v="4"/>
    <x v="1"/>
  </r>
  <r>
    <x v="4"/>
    <n v="20"/>
    <x v="0"/>
    <x v="0"/>
  </r>
  <r>
    <x v="4"/>
    <n v="20"/>
    <x v="7"/>
    <x v="2"/>
  </r>
  <r>
    <x v="5"/>
    <n v="19"/>
    <x v="0"/>
    <x v="1"/>
  </r>
  <r>
    <x v="5"/>
    <n v="19"/>
    <x v="0"/>
    <x v="1"/>
  </r>
  <r>
    <x v="5"/>
    <n v="19"/>
    <x v="2"/>
    <x v="2"/>
  </r>
  <r>
    <x v="5"/>
    <n v="19"/>
    <x v="1"/>
    <x v="2"/>
  </r>
  <r>
    <x v="5"/>
    <n v="19"/>
    <x v="4"/>
    <x v="0"/>
  </r>
  <r>
    <x v="6"/>
    <n v="19"/>
    <x v="0"/>
    <x v="1"/>
  </r>
  <r>
    <x v="6"/>
    <n v="19"/>
    <x v="2"/>
    <x v="1"/>
  </r>
  <r>
    <x v="6"/>
    <n v="19"/>
    <x v="8"/>
    <x v="1"/>
  </r>
  <r>
    <x v="6"/>
    <n v="19"/>
    <x v="2"/>
    <x v="2"/>
  </r>
  <r>
    <x v="5"/>
    <n v="19"/>
    <x v="4"/>
    <x v="2"/>
  </r>
  <r>
    <x v="6"/>
    <n v="19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3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1" firstHeaderRow="0" firstDataRow="1" firstDataCol="1"/>
  <pivotFields count="4">
    <pivotField axis="axisRow" numFmtId="16" showAll="0" defaultSubtotal="0">
      <items count="24">
        <item sd="0" m="1" x="20"/>
        <item sd="0" m="1" x="15"/>
        <item sd="0" m="1" x="12"/>
        <item sd="0" m="1" x="21"/>
        <item sd="0" m="1" x="9"/>
        <item sd="0" m="1" x="17"/>
        <item sd="0" m="1" x="23"/>
        <item sd="0" m="1" x="14"/>
        <item sd="0" m="1" x="11"/>
        <item sd="0" m="1" x="19"/>
        <item sd="0" m="1" x="7"/>
        <item sd="0" m="1" x="16"/>
        <item sd="0" m="1" x="8"/>
        <item sd="0" m="1" x="22"/>
        <item sd="0" m="1" x="13"/>
        <item sd="0" m="1" x="10"/>
        <item sd="0" m="1" x="18"/>
        <item sd="0" x="4"/>
        <item sd="0" x="5"/>
        <item sd="0" x="6"/>
        <item sd="0" x="2"/>
        <item sd="0" x="3"/>
        <item sd="0" x="0"/>
        <item sd="0" x="1"/>
      </items>
    </pivotField>
    <pivotField showAll="0"/>
    <pivotField axis="axisRow" showAll="0" defaultSubtotal="0">
      <items count="9">
        <item x="0"/>
        <item x="3"/>
        <item x="2"/>
        <item x="1"/>
        <item x="8"/>
        <item x="4"/>
        <item x="6"/>
        <item x="5"/>
        <item x="7"/>
      </items>
    </pivotField>
    <pivotField axis="axisCol" showAll="0">
      <items count="5">
        <item x="0"/>
        <item x="1"/>
        <item x="2"/>
        <item m="1" x="3"/>
        <item t="default"/>
      </items>
    </pivotField>
  </pivotFields>
  <rowFields count="2">
    <field x="0"/>
    <field x="2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68">
      <pivotArea collapsedLevelsAreSubtotals="1" fieldPosition="0">
        <references count="1">
          <reference field="0" count="0"/>
        </references>
      </pivotArea>
    </format>
    <format dxfId="67">
      <pivotArea collapsedLevelsAreSubtotals="1" fieldPosition="0">
        <references count="1">
          <reference field="0" count="0"/>
        </references>
      </pivotArea>
    </format>
    <format dxfId="66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5"/>
  <sheetViews>
    <sheetView tabSelected="1" workbookViewId="0">
      <selection activeCell="H9" sqref="H9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11" ht="45" x14ac:dyDescent="0.25">
      <c r="A2" s="16">
        <v>43242</v>
      </c>
      <c r="B2" s="17">
        <f t="shared" ref="B2" si="0">WEEKNUM(A2)</f>
        <v>21</v>
      </c>
      <c r="C2" s="18">
        <v>0.5</v>
      </c>
      <c r="D2" s="19" t="s">
        <v>8</v>
      </c>
      <c r="E2" s="14" t="s">
        <v>63</v>
      </c>
      <c r="F2" s="9" t="s">
        <v>64</v>
      </c>
    </row>
    <row r="3" spans="1:11" ht="30" x14ac:dyDescent="0.25">
      <c r="A3" s="16">
        <v>43238</v>
      </c>
      <c r="B3" s="17">
        <f t="shared" ref="B3" si="1">WEEKNUM(A3)</f>
        <v>20</v>
      </c>
      <c r="C3" s="18">
        <v>0.5</v>
      </c>
      <c r="D3" s="19" t="s">
        <v>8</v>
      </c>
      <c r="E3" s="14" t="s">
        <v>62</v>
      </c>
      <c r="F3" s="9"/>
    </row>
    <row r="4" spans="1:11" x14ac:dyDescent="0.25">
      <c r="A4" s="16">
        <v>43238</v>
      </c>
      <c r="B4" s="17">
        <f t="shared" ref="B4" si="2">WEEKNUM(A4)</f>
        <v>20</v>
      </c>
      <c r="C4" s="18">
        <v>0.5</v>
      </c>
      <c r="D4" s="19" t="s">
        <v>8</v>
      </c>
      <c r="E4" s="14" t="s">
        <v>60</v>
      </c>
      <c r="F4" s="9"/>
    </row>
    <row r="5" spans="1:11" x14ac:dyDescent="0.25">
      <c r="A5" s="16">
        <v>43238</v>
      </c>
      <c r="B5" s="17">
        <f t="shared" ref="B5" si="3">WEEKNUM(A5)</f>
        <v>20</v>
      </c>
      <c r="C5" s="18">
        <v>1.5</v>
      </c>
      <c r="D5" s="19" t="s">
        <v>8</v>
      </c>
      <c r="E5" s="14" t="s">
        <v>59</v>
      </c>
      <c r="F5" s="9"/>
    </row>
    <row r="6" spans="1:11" ht="30" x14ac:dyDescent="0.25">
      <c r="A6" s="16">
        <v>43238</v>
      </c>
      <c r="B6" s="17">
        <f t="shared" ref="B6" si="4">WEEKNUM(A6)</f>
        <v>20</v>
      </c>
      <c r="C6" s="18">
        <v>1</v>
      </c>
      <c r="D6" s="19" t="s">
        <v>6</v>
      </c>
      <c r="E6" s="14" t="s">
        <v>61</v>
      </c>
      <c r="F6" s="9"/>
    </row>
    <row r="7" spans="1:11" x14ac:dyDescent="0.25">
      <c r="A7" s="16">
        <v>43238</v>
      </c>
      <c r="B7" s="17">
        <f t="shared" ref="B7" si="5">WEEKNUM(A7)</f>
        <v>20</v>
      </c>
      <c r="C7" s="18">
        <v>0.5</v>
      </c>
      <c r="D7" s="19" t="s">
        <v>8</v>
      </c>
      <c r="E7" s="14" t="s">
        <v>58</v>
      </c>
      <c r="F7" s="9"/>
    </row>
    <row r="8" spans="1:11" x14ac:dyDescent="0.25">
      <c r="A8" s="16">
        <v>43238</v>
      </c>
      <c r="B8" s="17">
        <f t="shared" ref="B8" si="6">WEEKNUM(A8)</f>
        <v>20</v>
      </c>
      <c r="C8" s="18">
        <v>1.5</v>
      </c>
      <c r="D8" s="19" t="s">
        <v>6</v>
      </c>
      <c r="E8" s="14" t="s">
        <v>57</v>
      </c>
      <c r="F8" s="9"/>
    </row>
    <row r="9" spans="1:11" ht="30" x14ac:dyDescent="0.25">
      <c r="A9" s="16">
        <v>43238</v>
      </c>
      <c r="B9" s="17">
        <f t="shared" ref="B9" si="7">WEEKNUM(A9)</f>
        <v>20</v>
      </c>
      <c r="C9" s="18">
        <v>0.5</v>
      </c>
      <c r="D9" s="19" t="s">
        <v>6</v>
      </c>
      <c r="E9" s="14" t="s">
        <v>56</v>
      </c>
      <c r="F9" s="9"/>
    </row>
    <row r="10" spans="1:11" ht="30" x14ac:dyDescent="0.25">
      <c r="A10" s="16">
        <v>43238</v>
      </c>
      <c r="B10" s="17">
        <f t="shared" ref="B10" si="8">WEEKNUM(A10)</f>
        <v>20</v>
      </c>
      <c r="C10" s="18">
        <v>0.5</v>
      </c>
      <c r="D10" s="19" t="s">
        <v>6</v>
      </c>
      <c r="E10" s="14" t="s">
        <v>55</v>
      </c>
      <c r="F10" s="9"/>
    </row>
    <row r="11" spans="1:11" x14ac:dyDescent="0.25">
      <c r="A11" s="16">
        <v>43238</v>
      </c>
      <c r="B11" s="17">
        <f t="shared" ref="B11" si="9">WEEKNUM(A11)</f>
        <v>20</v>
      </c>
      <c r="C11" s="18">
        <v>0.5</v>
      </c>
      <c r="D11" s="19" t="s">
        <v>6</v>
      </c>
      <c r="E11" s="14" t="s">
        <v>54</v>
      </c>
      <c r="F11" s="9"/>
    </row>
    <row r="12" spans="1:11" x14ac:dyDescent="0.25">
      <c r="A12" s="16">
        <v>43237</v>
      </c>
      <c r="B12" s="17">
        <f t="shared" ref="B12" si="10">WEEKNUM(A12)</f>
        <v>20</v>
      </c>
      <c r="C12" s="18">
        <v>0.5</v>
      </c>
      <c r="D12" s="19" t="s">
        <v>6</v>
      </c>
      <c r="E12" s="14" t="s">
        <v>53</v>
      </c>
      <c r="F12" s="9"/>
    </row>
    <row r="13" spans="1:11" ht="60" x14ac:dyDescent="0.25">
      <c r="A13" s="16">
        <v>43237</v>
      </c>
      <c r="B13" s="17">
        <f t="shared" ref="B13" si="11">WEEKNUM(A13)</f>
        <v>20</v>
      </c>
      <c r="C13" s="18">
        <v>0.5</v>
      </c>
      <c r="D13" s="19" t="s">
        <v>6</v>
      </c>
      <c r="E13" s="14" t="s">
        <v>51</v>
      </c>
      <c r="F13" s="9" t="s">
        <v>52</v>
      </c>
      <c r="K13" s="21"/>
    </row>
    <row r="14" spans="1:11" x14ac:dyDescent="0.25">
      <c r="A14" s="16">
        <v>43237</v>
      </c>
      <c r="B14" s="17">
        <f t="shared" ref="B14" si="12">WEEKNUM(A14)</f>
        <v>20</v>
      </c>
      <c r="C14" s="18">
        <v>0.5</v>
      </c>
      <c r="D14" s="19" t="s">
        <v>8</v>
      </c>
      <c r="E14" s="14" t="s">
        <v>50</v>
      </c>
      <c r="F14" s="9"/>
    </row>
    <row r="15" spans="1:11" ht="30" x14ac:dyDescent="0.25">
      <c r="A15" s="16">
        <v>43237</v>
      </c>
      <c r="B15" s="17">
        <f t="shared" ref="B15" si="13">WEEKNUM(A15)</f>
        <v>20</v>
      </c>
      <c r="C15" s="18">
        <v>0.75</v>
      </c>
      <c r="D15" s="19" t="s">
        <v>6</v>
      </c>
      <c r="E15" s="14" t="s">
        <v>47</v>
      </c>
      <c r="F15" s="9"/>
    </row>
    <row r="16" spans="1:11" ht="60" x14ac:dyDescent="0.25">
      <c r="A16" s="16">
        <v>43237</v>
      </c>
      <c r="B16" s="17">
        <f t="shared" ref="B16" si="14">WEEKNUM(A16)</f>
        <v>20</v>
      </c>
      <c r="C16" s="18">
        <v>2.5</v>
      </c>
      <c r="D16" s="19" t="s">
        <v>6</v>
      </c>
      <c r="E16" s="14" t="s">
        <v>48</v>
      </c>
      <c r="F16" s="9" t="s">
        <v>49</v>
      </c>
    </row>
    <row r="17" spans="1:6" x14ac:dyDescent="0.25">
      <c r="A17" s="16">
        <v>43237</v>
      </c>
      <c r="B17" s="17">
        <f t="shared" ref="B17" si="15">WEEKNUM(A17)</f>
        <v>20</v>
      </c>
      <c r="C17" s="18">
        <v>3.5</v>
      </c>
      <c r="D17" s="19" t="s">
        <v>6</v>
      </c>
      <c r="E17" s="14" t="s">
        <v>46</v>
      </c>
      <c r="F17" s="9"/>
    </row>
    <row r="18" spans="1:6" x14ac:dyDescent="0.25">
      <c r="A18" s="16">
        <v>43237</v>
      </c>
      <c r="B18" s="17">
        <f t="shared" ref="B18" si="16">WEEKNUM(A18)</f>
        <v>20</v>
      </c>
      <c r="C18" s="18">
        <v>0.75</v>
      </c>
      <c r="D18" s="19" t="s">
        <v>8</v>
      </c>
      <c r="E18" s="14" t="s">
        <v>44</v>
      </c>
      <c r="F18" s="9"/>
    </row>
    <row r="19" spans="1:6" ht="75" x14ac:dyDescent="0.25">
      <c r="A19" s="16">
        <v>43236</v>
      </c>
      <c r="B19" s="17">
        <f t="shared" ref="B19" si="17">WEEKNUM(A19)</f>
        <v>20</v>
      </c>
      <c r="C19" s="18">
        <v>0.5</v>
      </c>
      <c r="D19" s="19" t="s">
        <v>6</v>
      </c>
      <c r="E19" s="14" t="s">
        <v>45</v>
      </c>
      <c r="F19" s="9" t="s">
        <v>43</v>
      </c>
    </row>
    <row r="20" spans="1:6" ht="30" x14ac:dyDescent="0.25">
      <c r="A20" s="16">
        <v>43236</v>
      </c>
      <c r="B20" s="17">
        <f t="shared" ref="B20" si="18">WEEKNUM(A20)</f>
        <v>20</v>
      </c>
      <c r="C20" s="18">
        <v>1</v>
      </c>
      <c r="D20" s="19" t="s">
        <v>8</v>
      </c>
      <c r="E20" s="14" t="s">
        <v>42</v>
      </c>
      <c r="F20" s="9"/>
    </row>
    <row r="21" spans="1:6" ht="60" x14ac:dyDescent="0.25">
      <c r="A21" s="16">
        <v>43236</v>
      </c>
      <c r="B21" s="17">
        <f t="shared" ref="B21" si="19">WEEKNUM(A21)</f>
        <v>20</v>
      </c>
      <c r="C21" s="18">
        <v>3</v>
      </c>
      <c r="D21" s="19" t="s">
        <v>6</v>
      </c>
      <c r="E21" s="14" t="s">
        <v>40</v>
      </c>
      <c r="F21" s="9" t="s">
        <v>41</v>
      </c>
    </row>
    <row r="22" spans="1:6" ht="30" x14ac:dyDescent="0.25">
      <c r="A22" s="16">
        <v>43236</v>
      </c>
      <c r="B22" s="17">
        <f t="shared" ref="B22" si="20">WEEKNUM(A22)</f>
        <v>20</v>
      </c>
      <c r="C22" s="18">
        <v>1.5</v>
      </c>
      <c r="D22" s="19" t="s">
        <v>6</v>
      </c>
      <c r="E22" s="14" t="s">
        <v>38</v>
      </c>
      <c r="F22" s="9" t="s">
        <v>39</v>
      </c>
    </row>
    <row r="23" spans="1:6" ht="60" x14ac:dyDescent="0.25">
      <c r="A23" s="16">
        <v>43235</v>
      </c>
      <c r="B23" s="17">
        <f t="shared" ref="B23" si="21">WEEKNUM(A23)</f>
        <v>20</v>
      </c>
      <c r="C23" s="18">
        <v>2.5</v>
      </c>
      <c r="D23" s="19" t="s">
        <v>6</v>
      </c>
      <c r="E23" s="14" t="s">
        <v>36</v>
      </c>
      <c r="F23" s="9" t="s">
        <v>37</v>
      </c>
    </row>
    <row r="24" spans="1:6" ht="30" x14ac:dyDescent="0.25">
      <c r="A24" s="16">
        <v>43235</v>
      </c>
      <c r="B24" s="17">
        <f t="shared" ref="B24" si="22">WEEKNUM(A24)</f>
        <v>20</v>
      </c>
      <c r="C24" s="18">
        <v>0.5</v>
      </c>
      <c r="D24" s="19" t="s">
        <v>8</v>
      </c>
      <c r="E24" s="14" t="s">
        <v>35</v>
      </c>
      <c r="F24" s="9"/>
    </row>
    <row r="25" spans="1:6" ht="30" x14ac:dyDescent="0.25">
      <c r="A25" s="16">
        <v>43235</v>
      </c>
      <c r="B25" s="17">
        <f t="shared" ref="B25" si="23">WEEKNUM(A25)</f>
        <v>20</v>
      </c>
      <c r="C25" s="18">
        <v>5</v>
      </c>
      <c r="D25" s="19" t="s">
        <v>5</v>
      </c>
      <c r="E25" s="14" t="s">
        <v>34</v>
      </c>
      <c r="F25" s="9"/>
    </row>
    <row r="26" spans="1:6" ht="30" x14ac:dyDescent="0.25">
      <c r="A26" s="16">
        <v>43229</v>
      </c>
      <c r="B26" s="17">
        <f t="shared" ref="B26:B36" si="24">WEEKNUM(A26)</f>
        <v>19</v>
      </c>
      <c r="C26" s="18">
        <v>0.5</v>
      </c>
      <c r="D26" s="19" t="s">
        <v>6</v>
      </c>
      <c r="E26" s="14" t="s">
        <v>31</v>
      </c>
      <c r="F26" s="9"/>
    </row>
    <row r="27" spans="1:6" x14ac:dyDescent="0.25">
      <c r="A27" s="16">
        <v>43229</v>
      </c>
      <c r="B27" s="17">
        <f t="shared" si="24"/>
        <v>19</v>
      </c>
      <c r="C27" s="18">
        <v>0.5</v>
      </c>
      <c r="D27" s="19" t="s">
        <v>6</v>
      </c>
      <c r="E27" s="14" t="s">
        <v>30</v>
      </c>
      <c r="F27" s="9"/>
    </row>
    <row r="28" spans="1:6" ht="30" x14ac:dyDescent="0.25">
      <c r="A28" s="16">
        <v>43229</v>
      </c>
      <c r="B28" s="17">
        <f t="shared" si="24"/>
        <v>19</v>
      </c>
      <c r="C28" s="18">
        <v>1</v>
      </c>
      <c r="D28" s="19" t="s">
        <v>5</v>
      </c>
      <c r="E28" s="14" t="s">
        <v>33</v>
      </c>
      <c r="F28" s="9"/>
    </row>
    <row r="29" spans="1:6" ht="60" x14ac:dyDescent="0.25">
      <c r="A29" s="16">
        <v>43229</v>
      </c>
      <c r="B29" s="17">
        <f t="shared" si="24"/>
        <v>19</v>
      </c>
      <c r="C29" s="18">
        <v>1.5</v>
      </c>
      <c r="D29" s="19" t="s">
        <v>5</v>
      </c>
      <c r="E29" s="14" t="s">
        <v>28</v>
      </c>
      <c r="F29" s="9" t="s">
        <v>29</v>
      </c>
    </row>
    <row r="30" spans="1:6" ht="30" x14ac:dyDescent="0.25">
      <c r="A30" s="16">
        <v>43229</v>
      </c>
      <c r="B30" s="17">
        <f t="shared" si="24"/>
        <v>19</v>
      </c>
      <c r="C30" s="18">
        <v>2.5</v>
      </c>
      <c r="D30" s="19" t="s">
        <v>8</v>
      </c>
      <c r="E30" s="14" t="s">
        <v>32</v>
      </c>
      <c r="F30" s="9"/>
    </row>
    <row r="31" spans="1:6" ht="45" x14ac:dyDescent="0.25">
      <c r="A31" s="16">
        <v>43228</v>
      </c>
      <c r="B31" s="17">
        <f t="shared" si="24"/>
        <v>19</v>
      </c>
      <c r="C31" s="18">
        <v>0.5</v>
      </c>
      <c r="D31" s="19" t="s">
        <v>6</v>
      </c>
      <c r="E31" s="14" t="s">
        <v>27</v>
      </c>
      <c r="F31" s="9"/>
    </row>
    <row r="32" spans="1:6" ht="30" x14ac:dyDescent="0.25">
      <c r="A32" s="16">
        <v>43228</v>
      </c>
      <c r="B32" s="17">
        <f t="shared" si="24"/>
        <v>19</v>
      </c>
      <c r="C32" s="18">
        <v>1</v>
      </c>
      <c r="D32" s="19" t="s">
        <v>6</v>
      </c>
      <c r="E32" s="14" t="s">
        <v>24</v>
      </c>
      <c r="F32" s="9"/>
    </row>
    <row r="33" spans="1:11" ht="30" x14ac:dyDescent="0.25">
      <c r="A33" s="16">
        <v>43228</v>
      </c>
      <c r="B33" s="17">
        <f t="shared" si="24"/>
        <v>19</v>
      </c>
      <c r="C33" s="18">
        <v>2</v>
      </c>
      <c r="D33" s="19" t="s">
        <v>6</v>
      </c>
      <c r="E33" s="14" t="s">
        <v>23</v>
      </c>
      <c r="F33" s="9"/>
    </row>
    <row r="34" spans="1:11" ht="30" x14ac:dyDescent="0.25">
      <c r="A34" s="16">
        <v>43228</v>
      </c>
      <c r="B34" s="17">
        <f t="shared" si="24"/>
        <v>19</v>
      </c>
      <c r="C34" s="18">
        <v>1</v>
      </c>
      <c r="D34" s="19" t="s">
        <v>5</v>
      </c>
      <c r="E34" s="14" t="s">
        <v>22</v>
      </c>
      <c r="F34" s="9"/>
    </row>
    <row r="35" spans="1:11" ht="30" x14ac:dyDescent="0.25">
      <c r="A35" s="16">
        <v>43229</v>
      </c>
      <c r="B35" s="17">
        <f t="shared" si="24"/>
        <v>19</v>
      </c>
      <c r="C35" s="18">
        <v>2.5</v>
      </c>
      <c r="D35" s="19" t="s">
        <v>5</v>
      </c>
      <c r="E35" s="14" t="s">
        <v>19</v>
      </c>
      <c r="F35" s="9" t="s">
        <v>20</v>
      </c>
    </row>
    <row r="36" spans="1:11" ht="30" x14ac:dyDescent="0.25">
      <c r="A36" s="16">
        <v>43228</v>
      </c>
      <c r="B36" s="17">
        <f t="shared" si="24"/>
        <v>19</v>
      </c>
      <c r="C36" s="18">
        <v>1</v>
      </c>
      <c r="D36" s="19" t="s">
        <v>5</v>
      </c>
      <c r="E36" s="14" t="s">
        <v>18</v>
      </c>
      <c r="F36" s="9"/>
    </row>
    <row r="37" spans="1:11" ht="15.75" x14ac:dyDescent="0.25">
      <c r="I37" s="28" t="s">
        <v>12</v>
      </c>
      <c r="J37" s="29"/>
      <c r="K37" s="29"/>
    </row>
    <row r="38" spans="1:11" x14ac:dyDescent="0.25">
      <c r="I38" s="30" t="s">
        <v>13</v>
      </c>
      <c r="J38" s="31"/>
      <c r="K38" s="15">
        <v>0</v>
      </c>
    </row>
    <row r="39" spans="1:11" x14ac:dyDescent="0.25">
      <c r="I39" s="32" t="s">
        <v>14</v>
      </c>
      <c r="J39" s="33"/>
      <c r="K39" s="15">
        <v>8</v>
      </c>
    </row>
    <row r="40" spans="1:11" x14ac:dyDescent="0.25">
      <c r="I40" s="32" t="s">
        <v>15</v>
      </c>
      <c r="J40" s="33"/>
      <c r="K40" s="15">
        <v>6</v>
      </c>
    </row>
    <row r="41" spans="1:11" x14ac:dyDescent="0.25">
      <c r="I41" s="32" t="s">
        <v>16</v>
      </c>
      <c r="J41" s="33"/>
      <c r="K41" s="15">
        <v>9</v>
      </c>
    </row>
    <row r="42" spans="1:11" ht="15.75" thickBot="1" x14ac:dyDescent="0.3">
      <c r="I42" s="26" t="s">
        <v>17</v>
      </c>
      <c r="J42" s="27"/>
      <c r="K42" s="15">
        <v>7</v>
      </c>
    </row>
    <row r="43" spans="1:11" ht="15.75" thickBot="1" x14ac:dyDescent="0.3">
      <c r="I43" s="23" t="s">
        <v>21</v>
      </c>
      <c r="J43" s="24"/>
      <c r="K43" s="25"/>
    </row>
    <row r="45" spans="1:11" x14ac:dyDescent="0.25">
      <c r="I45" s="22" t="s">
        <v>26</v>
      </c>
      <c r="J45" s="22"/>
      <c r="K45" s="8">
        <f>SUM(K38:K42)</f>
        <v>30</v>
      </c>
    </row>
  </sheetData>
  <sheetProtection selectLockedCells="1"/>
  <mergeCells count="8">
    <mergeCell ref="I45:J45"/>
    <mergeCell ref="I43:K43"/>
    <mergeCell ref="I42:J42"/>
    <mergeCell ref="I37:K37"/>
    <mergeCell ref="I38:J38"/>
    <mergeCell ref="I39:J39"/>
    <mergeCell ref="I40:J40"/>
    <mergeCell ref="I41:J41"/>
  </mergeCells>
  <hyperlinks>
    <hyperlink ref="I43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1"/>
  <sheetViews>
    <sheetView workbookViewId="0">
      <selection activeCell="B4" sqref="B4:E10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20"/>
      <c r="C4" s="20"/>
      <c r="D4" s="20"/>
      <c r="E4" s="20"/>
    </row>
    <row r="5" spans="1:5" x14ac:dyDescent="0.25">
      <c r="A5" s="3">
        <v>43229</v>
      </c>
      <c r="B5" s="20"/>
      <c r="C5" s="20"/>
      <c r="D5" s="20"/>
      <c r="E5" s="20"/>
    </row>
    <row r="6" spans="1:5" x14ac:dyDescent="0.25">
      <c r="A6" s="3">
        <v>43228</v>
      </c>
      <c r="B6" s="20"/>
      <c r="C6" s="20"/>
      <c r="D6" s="20"/>
      <c r="E6" s="20"/>
    </row>
    <row r="7" spans="1:5" x14ac:dyDescent="0.25">
      <c r="A7" s="3">
        <v>43237</v>
      </c>
      <c r="B7" s="20"/>
      <c r="C7" s="20"/>
      <c r="D7" s="20"/>
      <c r="E7" s="20"/>
    </row>
    <row r="8" spans="1:5" x14ac:dyDescent="0.25">
      <c r="A8" s="3">
        <v>43236</v>
      </c>
      <c r="B8" s="20"/>
      <c r="C8" s="20"/>
      <c r="D8" s="20"/>
      <c r="E8" s="20"/>
    </row>
    <row r="9" spans="1:5" x14ac:dyDescent="0.25">
      <c r="A9" s="3">
        <v>43242</v>
      </c>
      <c r="B9" s="20"/>
      <c r="C9" s="20"/>
      <c r="D9" s="20"/>
      <c r="E9" s="20"/>
    </row>
    <row r="10" spans="1:5" x14ac:dyDescent="0.25">
      <c r="A10" s="3">
        <v>43238</v>
      </c>
      <c r="B10" s="20"/>
      <c r="C10" s="20"/>
      <c r="D10" s="20"/>
      <c r="E10" s="20"/>
    </row>
    <row r="11" spans="1:5" x14ac:dyDescent="0.25">
      <c r="A11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2018-05-22T07:12:55Z</dcterms:modified>
</cp:coreProperties>
</file>