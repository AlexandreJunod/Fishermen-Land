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l="1"/>
  <c r="B14" i="1" l="1"/>
  <c r="B15" i="1"/>
  <c r="B16" i="1"/>
  <c r="B17" i="1"/>
  <c r="B18" i="1"/>
  <c r="B19" i="1"/>
  <c r="B20" i="1"/>
  <c r="B21" i="1"/>
  <c r="B22" i="1"/>
  <c r="B23" i="1"/>
  <c r="B24" i="1"/>
  <c r="B25" i="1"/>
  <c r="B26" i="1" l="1"/>
  <c r="B27" i="1"/>
  <c r="B28" i="1" l="1"/>
  <c r="B29" i="1"/>
  <c r="B30" i="1"/>
  <c r="B31" i="1"/>
  <c r="B32" i="1"/>
  <c r="B33" i="1"/>
  <c r="B34" i="1"/>
  <c r="B35" i="1"/>
  <c r="B36" i="1"/>
  <c r="B37" i="1"/>
  <c r="B38" i="1"/>
  <c r="B39" i="1" l="1"/>
  <c r="B40" i="1" l="1"/>
  <c r="B41" i="1"/>
  <c r="B42" i="1"/>
  <c r="B43" i="1"/>
  <c r="B44" i="1"/>
  <c r="B45" i="1"/>
  <c r="B46" i="1"/>
  <c r="B47" i="1"/>
  <c r="B48" i="1"/>
  <c r="B49" i="1"/>
  <c r="B50" i="1"/>
  <c r="B51" i="1"/>
  <c r="B52" i="1"/>
  <c r="B53" i="1"/>
  <c r="B54" i="1" l="1"/>
  <c r="B55" i="1"/>
  <c r="B56" i="1" l="1"/>
  <c r="B57" i="1"/>
  <c r="B58" i="1"/>
  <c r="B59" i="1"/>
  <c r="B60" i="1" l="1"/>
  <c r="B61" i="1"/>
  <c r="B62" i="1"/>
  <c r="B63" i="1" l="1"/>
  <c r="B64" i="1"/>
  <c r="B65" i="1"/>
  <c r="B66" i="1"/>
  <c r="K82" i="1"/>
  <c r="B67" i="1"/>
  <c r="B68" i="1" l="1"/>
  <c r="B69" i="1"/>
  <c r="B70" i="1"/>
  <c r="B71" i="1"/>
  <c r="B72" i="1"/>
  <c r="B73" i="1"/>
</calcChain>
</file>

<file path=xl/sharedStrings.xml><?xml version="1.0" encoding="utf-8"?>
<sst xmlns="http://schemas.openxmlformats.org/spreadsheetml/2006/main" count="187" uniqueCount="107">
  <si>
    <t>Description</t>
  </si>
  <si>
    <t>Remarques/problèmes</t>
  </si>
  <si>
    <t>Jour</t>
  </si>
  <si>
    <t>Type</t>
  </si>
  <si>
    <t>Types de tâches</t>
  </si>
  <si>
    <t>Analyse</t>
  </si>
  <si>
    <t>Implémentation</t>
  </si>
  <si>
    <t>Tests</t>
  </si>
  <si>
    <t>Documentation</t>
  </si>
  <si>
    <t>Absence</t>
  </si>
  <si>
    <t>Total général</t>
  </si>
  <si>
    <t>Semaine</t>
  </si>
  <si>
    <t>Temps de travail</t>
  </si>
  <si>
    <t>Lundi</t>
  </si>
  <si>
    <t>Mardi</t>
  </si>
  <si>
    <t>Mercredi</t>
  </si>
  <si>
    <t>Jeudi</t>
  </si>
  <si>
    <t>Vendredi</t>
  </si>
  <si>
    <t>Rencontrer l’expert et signer le cahier des charges</t>
  </si>
  <si>
    <t>Planification initiale</t>
  </si>
  <si>
    <t>Les serveurs tréllo ont planté et certaines données ont été perdues</t>
  </si>
  <si>
    <t xml:space="preserve">https://www.fanchcreation.eu/heures/ </t>
  </si>
  <si>
    <t>Lire le cahier des charges, et réfléchir à la meilleur façon de planifié le TPI</t>
  </si>
  <si>
    <t>Définir les différents use cases et commencer les scénarios</t>
  </si>
  <si>
    <t>Discuter avec le client sur le fonctionnement d'une partie de Fishermen Land</t>
  </si>
  <si>
    <t>Temps [période]</t>
  </si>
  <si>
    <t>Total semaine</t>
  </si>
  <si>
    <t>Mettre à jour le journal de travail, journal de bord, envoyer la planification initiale, commit le repository GitHub</t>
  </si>
  <si>
    <t>Modification de la planification initiale. Calculer le nombre de périodes nécessaires pour chaque tâche et les ajouter sur trello à l'aide de "Scrum for trello"</t>
  </si>
  <si>
    <t>En rajoutant le nombre de périodes nécessaires, j'ai pu me rendre compte que je n'avais pas bien planifié</t>
  </si>
  <si>
    <t>Commit le GitHub, envoyer les documents</t>
  </si>
  <si>
    <t>Mettre à jour le journal de travail et le journal de bord</t>
  </si>
  <si>
    <t>Illuster la page de titre à l'aide de textures trouvées sur internet et photoshop</t>
  </si>
  <si>
    <t>Compléter l'introduction, les objectifs et la planification initiale</t>
  </si>
  <si>
    <t>Implémenter les maquettes, les use cases et les scénarios</t>
  </si>
  <si>
    <t>Tenir a jour le journal de travail et répondre aux mails</t>
  </si>
  <si>
    <t>Créer le MCD et la base de données</t>
  </si>
  <si>
    <t>Réflexion sur la manière de gérer les scores et la façon de créer une place. Ce point sera surement repris dans la "Particularité 1" se trouvant dans la documentation.</t>
  </si>
  <si>
    <t>Gérer le système de connexion</t>
  </si>
  <si>
    <t>J'ai repris des bouts de code déjà existant, commenter et modifier certaines fonctions</t>
  </si>
  <si>
    <t>Lister les differentes parties disponibles et ajout des boutons pour rejoindre une partie</t>
  </si>
  <si>
    <t>Quelques changements dans la base de donnée ont étés faits. Lors de la réalisation je me suis rendu compte qu'on ne pouvait pas gérer correctement les paramétrages d'une partie</t>
  </si>
  <si>
    <t>Reprendre un MLD et MCD à jour, ajouter les maquettes, scénarios et uses cases</t>
  </si>
  <si>
    <t>Je n'ai pas trouvé ce que je recherchais, j'ai donc utiliser une répétition. Afin de gérer ce problème je relirais le code qui avait été utiliser pour faire un "Puissance 4", celui-ci comporte ce dont j'ai besoin</t>
  </si>
  <si>
    <t>Illustrer la vue d'ensemble</t>
  </si>
  <si>
    <t>Recherches en rapport avec les array_push afin d'ajouter une valeur dans un tableau et éviter la répétition et tenir a jour le journal de travail et de bord, mettre à jour le trello et les tâches accomplies</t>
  </si>
  <si>
    <t xml:space="preserve">Fournir la possiblité de paramétrer </t>
  </si>
  <si>
    <t>Renomer des variables, refaire les fonctions et mieux organiser l'éxecution du code</t>
  </si>
  <si>
    <t>Changer la manière d'afficher les partie afin de pouvoir garder dans un tableau toute les informations mais en affichant seulement au format voulu</t>
  </si>
  <si>
    <t>J'ai essayé pendant un long moment de différencier une partie vide et une partie pleine par du code à l'aide de foreach, mais il était plus simple de le faire par quette SQL et ça fonctionne correctement</t>
  </si>
  <si>
    <t>Tenir a jour le journal de travail</t>
  </si>
  <si>
    <t>Recherches sur le fonctionnement des requêtes SQL dans un MVC afin de pouvoir executer et récupérer plusieurs valeurs dans une seule fonction</t>
  </si>
  <si>
    <t>Au final j'ai fait à l'aide de plusieurs requêtes, pour éviter d'avoir a mettre de la logiqe dans le model</t>
  </si>
  <si>
    <t>Modification de la base de donnée</t>
  </si>
  <si>
    <t>Préparation pour la demo</t>
  </si>
  <si>
    <t>Demo et discussion avec le chef de projet sur la doc</t>
  </si>
  <si>
    <t>Création de données par script dans la base de donnée afin de mieux tester le jeu</t>
  </si>
  <si>
    <t>Gérer les messages d'erreur</t>
  </si>
  <si>
    <t>Mettre à jour le journal de travail et de bord</t>
  </si>
  <si>
    <t>Modifications de la doc selon les retours reçus</t>
  </si>
  <si>
    <t>Révision de la planification initiale</t>
  </si>
  <si>
    <t xml:space="preserve">Commencer à prendre les données nécessaires afin d'afficher une partie </t>
  </si>
  <si>
    <t>Préparer et rendre la documentation et le journal de travail au format PDF</t>
  </si>
  <si>
    <t>Relire la doc, le trello et les mails afin de s'assurer que tout à été fait correctement et qu'aucune tâche n'a été oubliée</t>
  </si>
  <si>
    <t>La démo du 18.05 n'était pas citée dans le journal de bord et certains éléments n'étaient pas à jour sur le trello</t>
  </si>
  <si>
    <t>Gérer le début de partie + quitter une partie</t>
  </si>
  <si>
    <t>Modification du code pour créer une place et supprimer une place à chaque fois qu'on rejoint ou quitte la partie</t>
  </si>
  <si>
    <t>Tester et modifier l'architecture du code afin de ne pas avoir de répétitions</t>
  </si>
  <si>
    <t>Des tableaux étaient recrées plusieurs fois inutilement</t>
  </si>
  <si>
    <t>Pour que les boutons soient cohérents il à fallu afficher une partie et regarder quel rôle le joueur avait</t>
  </si>
  <si>
    <t>Mettre a jour le journal de travail et de bord</t>
  </si>
  <si>
    <t>Préparation et envoi des livrables</t>
  </si>
  <si>
    <t>Rencontre avec M. Gruaz</t>
  </si>
  <si>
    <t>Tester afin de s'assurer que tout est encore fonctionnel et changer certaines valeurs dans la base de donnée afin qu'une partie se déroule correctement</t>
  </si>
  <si>
    <t>Fournir le MLD et une particularité</t>
  </si>
  <si>
    <t xml:space="preserve">Compléter le dossier de concéption </t>
  </si>
  <si>
    <t>Ecrire une brêve explication du jeu suite à la demande de M. Gruaz</t>
  </si>
  <si>
    <t>Rien n'est sécurisé pour le moment, on peut dépasser le nombre de poissons qu'il est normalement possible de pêcher ou relâcher</t>
  </si>
  <si>
    <t>Gérer les boutons pour jouer, les différentes règles selon les modes de jeu et automatiser la partie afin que l'utilisateur ne puisse pêcher plusieurs fois d'afiler et qu'il n'ait pas à cliquer sur "passer son tour" après avoir joué</t>
  </si>
  <si>
    <t>Commencer à rendre une partie jouable au tour par tour pour rendre utile les boutons</t>
  </si>
  <si>
    <t>J'avais mal compris le fonctionnement de classement et meilleur score. Afin que celui-ci corresponde au cahier des charges il est nécessaire d'avoir une table "historique"</t>
  </si>
  <si>
    <t>Automatisation d'une partie, empêcher les formulaires de se renvoyé et pour certaines variables, checker dans la base de données si l'action est possible ou non</t>
  </si>
  <si>
    <t>Tester quelques parties dans plusieurs cas de figure différents et prendre note des points a corriger</t>
  </si>
  <si>
    <t>Présentation de la démo au chef de projet</t>
  </si>
  <si>
    <t>Permettre aux joueurs de passer leurs tour correctement selon leur mode de jeu</t>
  </si>
  <si>
    <t>Gérer la consultation aux statistiques</t>
  </si>
  <si>
    <t>Commencer a créer le code pour gérer les rangs</t>
  </si>
  <si>
    <t>Finir de gérer les rangs</t>
  </si>
  <si>
    <t>Améliorer l'architecture du code pour éviter certaines répétitions</t>
  </si>
  <si>
    <t>Le switch devenait contraignant, j'ai préférer utiliser un if avec des elseif</t>
  </si>
  <si>
    <t>Décrire les risques techniques et révision de la planification initiale</t>
  </si>
  <si>
    <t>Décrire la stratégie de test</t>
  </si>
  <si>
    <t>Modifications selon les retours fait par M. Egger</t>
  </si>
  <si>
    <t>Entretien</t>
  </si>
  <si>
    <t>Je n'ai pas réussi a automatiser une partie à l'aide de l'ajax, car je n'ai pas réussi a totalement comprendre son fonctionnement</t>
  </si>
  <si>
    <t xml:space="preserve">Recherches et test de JS/Jquery/ajax afin d'automatiser le raffraichissement </t>
  </si>
  <si>
    <t>Demande d'aide au maitre de classe, au niveau technique pour l'automatisation d'une partie</t>
  </si>
  <si>
    <t>Nous avons utiliser du JS pour renvoyer les formulaires dans le cas où l'utilisateur ne joue pas et laisser la page se raffraichir au lieu de charger la vue ave l'ajax</t>
  </si>
  <si>
    <t>Gérer les messages d'erreurs et les poissons max relâchés</t>
  </si>
  <si>
    <t>Il y avait un header qui raffraichissait la page, celui-ci m'empêchait de garder une variable et donc d'afficher les messages</t>
  </si>
  <si>
    <t>Gérer les champs rentrés par les utilisateur pour qu'ils ne puissent pas y mettre nimporte quoi</t>
  </si>
  <si>
    <t>Les champs numériques en jeu était pré-rempli, il fallait éffacer pour jouer</t>
  </si>
  <si>
    <t>Modifier le code pour rendre plus agréable une partie et améliorer les messages d'erreur</t>
  </si>
  <si>
    <t xml:space="preserve">Ajouter des poissons dans le lac à chaque début de nouveau tour </t>
  </si>
  <si>
    <t>Tester des partie avec plusieurs navigateur et un autre PC</t>
  </si>
  <si>
    <t>Etablir une description des tests effectués</t>
  </si>
  <si>
    <t>Etablir la procédure d'installation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</si>
</sst>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
      <u/>
      <sz val="11"/>
      <color theme="10"/>
      <name val="Calibri"/>
      <family val="2"/>
      <scheme val="minor"/>
    </font>
    <font>
      <sz val="11"/>
      <name val="Calibri"/>
      <family val="2"/>
      <scheme val="minor"/>
    </font>
    <font>
      <b/>
      <sz val="11"/>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2">
    <xf numFmtId="0" fontId="0" fillId="0" borderId="0"/>
    <xf numFmtId="0" fontId="5" fillId="0" borderId="0" applyNumberFormat="0" applyFill="0" applyBorder="0" applyAlignment="0" applyProtection="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horizontal="left" vertical="center" wrapText="1"/>
    </xf>
    <xf numFmtId="0" fontId="0" fillId="0" borderId="1" xfId="0" applyNumberFormat="1" applyBorder="1" applyAlignment="1" applyProtection="1">
      <alignment horizontal="center" vertical="center"/>
      <protection locked="0"/>
    </xf>
    <xf numFmtId="16" fontId="0" fillId="0" borderId="1"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xf>
    <xf numFmtId="0" fontId="0" fillId="0" borderId="1" xfId="0" applyNumberFormat="1" applyBorder="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6" fillId="0" borderId="0" xfId="0" applyFont="1" applyFill="1"/>
    <xf numFmtId="0" fontId="7" fillId="0" borderId="0" xfId="0" applyFont="1" applyProtection="1">
      <protection locked="0"/>
    </xf>
    <xf numFmtId="0" fontId="0" fillId="0" borderId="0" xfId="0" applyAlignment="1" applyProtection="1">
      <alignment horizontal="center"/>
      <protection locked="0"/>
    </xf>
    <xf numFmtId="0" fontId="5" fillId="2" borderId="7" xfId="1" applyFill="1" applyBorder="1" applyAlignment="1" applyProtection="1">
      <alignment horizontal="center"/>
      <protection locked="0"/>
    </xf>
    <xf numFmtId="0" fontId="5" fillId="2" borderId="8" xfId="1" applyFill="1" applyBorder="1" applyAlignment="1" applyProtection="1">
      <alignment horizontal="center"/>
      <protection locked="0"/>
    </xf>
    <xf numFmtId="0" fontId="5" fillId="2" borderId="9" xfId="1" applyFill="1" applyBorder="1" applyAlignment="1" applyProtection="1">
      <alignment horizontal="center"/>
      <protection locked="0"/>
    </xf>
    <xf numFmtId="0" fontId="0" fillId="0" borderId="5" xfId="0" applyBorder="1" applyAlignment="1">
      <alignment horizontal="center" vertical="center"/>
    </xf>
    <xf numFmtId="0" fontId="0" fillId="0" borderId="6" xfId="0" applyBorder="1" applyAlignment="1">
      <alignment horizontal="center" vertical="center"/>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2">
    <cellStyle name="Lien hypertexte" xfId="1" builtinId="8"/>
    <cellStyle name="Normal" xfId="0" builtinId="0"/>
  </cellStyles>
  <dxfs count="3">
    <dxf>
      <fill>
        <patternFill patternType="none">
          <bgColor auto="1"/>
        </patternFill>
      </fill>
    </dxf>
    <dxf>
      <fill>
        <patternFill patternType="solid">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2.383370370371" createdVersion="4" refreshedVersion="6" minRefreshableVersion="3" recordCount="35">
  <cacheSource type="worksheet">
    <worksheetSource ref="A1:D73" sheet="Journal"/>
  </cacheSource>
  <cacheFields count="4">
    <cacheField name="Jour" numFmtId="16">
      <sharedItems containsSemiMixedTypes="0" containsNonDate="0" containsDate="1" containsString="0" minDate="2018-01-01T00:00:00" maxDate="2018-05-23T00:00:00" count="24">
        <d v="2018-05-22T00:00:00"/>
        <d v="2018-05-18T00:00:00"/>
        <d v="2018-05-17T00:00:00"/>
        <d v="2018-05-16T00:00:00"/>
        <d v="2018-05-15T00:00:00"/>
        <d v="2018-05-09T00:00:00"/>
        <d v="2018-05-08T00:00:00"/>
        <d v="2018-02-09T00:00:00" u="1"/>
        <d v="2018-02-28T00:00:00" u="1"/>
        <d v="2018-02-02T00:00:00" u="1"/>
        <d v="2018-03-07T00:00:00" u="1"/>
        <d v="2018-02-14T00:00:00" u="1"/>
        <d v="2018-02-07T00:00:00" u="1"/>
        <d v="2018-03-01T00:00:00" u="1"/>
        <d v="2018-02-15T00:00:00" u="1"/>
        <d v="2018-02-08T00:00:00" u="1"/>
        <d v="2018-02-27T00:00:00" u="1"/>
        <d v="2018-02-01T00:00:00" u="1"/>
        <d v="2018-03-06T00:00:00" u="1"/>
        <d v="2018-02-13T00:00:00" u="1"/>
        <d v="2018-01-01T00:00:00" u="1"/>
        <d v="2018-02-06T00:00:00" u="1"/>
        <d v="2018-03-02T00:00:00" u="1"/>
        <d v="2018-02-16T00:00:00" u="1"/>
      </sharedItems>
    </cacheField>
    <cacheField name="Semaine" numFmtId="1">
      <sharedItems containsSemiMixedTypes="0" containsString="0" containsNumber="1" containsInteger="1" minValue="19" maxValue="21"/>
    </cacheField>
    <cacheField name="Temps [période]" numFmtId="0">
      <sharedItems containsSemiMixedTypes="0" containsString="0" containsNumber="1" minValue="0.5" maxValue="5" count="9">
        <n v="0.5"/>
        <n v="1.5"/>
        <n v="1"/>
        <n v="0.75"/>
        <n v="2.5"/>
        <n v="3.5"/>
        <n v="3"/>
        <n v="5"/>
        <n v="2"/>
      </sharedItems>
    </cacheField>
    <cacheField name="Type" numFmtId="0">
      <sharedItems count="4">
        <s v="Documentation"/>
        <s v="Implémentation"/>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5">
  <r>
    <x v="0"/>
    <n v="21"/>
    <x v="0"/>
    <x v="0"/>
  </r>
  <r>
    <x v="1"/>
    <n v="20"/>
    <x v="0"/>
    <x v="0"/>
  </r>
  <r>
    <x v="1"/>
    <n v="20"/>
    <x v="0"/>
    <x v="0"/>
  </r>
  <r>
    <x v="1"/>
    <n v="20"/>
    <x v="1"/>
    <x v="0"/>
  </r>
  <r>
    <x v="1"/>
    <n v="20"/>
    <x v="2"/>
    <x v="1"/>
  </r>
  <r>
    <x v="1"/>
    <n v="20"/>
    <x v="0"/>
    <x v="0"/>
  </r>
  <r>
    <x v="1"/>
    <n v="20"/>
    <x v="1"/>
    <x v="1"/>
  </r>
  <r>
    <x v="1"/>
    <n v="20"/>
    <x v="0"/>
    <x v="1"/>
  </r>
  <r>
    <x v="1"/>
    <n v="20"/>
    <x v="0"/>
    <x v="1"/>
  </r>
  <r>
    <x v="1"/>
    <n v="20"/>
    <x v="0"/>
    <x v="1"/>
  </r>
  <r>
    <x v="2"/>
    <n v="20"/>
    <x v="0"/>
    <x v="1"/>
  </r>
  <r>
    <x v="2"/>
    <n v="20"/>
    <x v="0"/>
    <x v="1"/>
  </r>
  <r>
    <x v="2"/>
    <n v="20"/>
    <x v="0"/>
    <x v="0"/>
  </r>
  <r>
    <x v="2"/>
    <n v="20"/>
    <x v="3"/>
    <x v="1"/>
  </r>
  <r>
    <x v="2"/>
    <n v="20"/>
    <x v="4"/>
    <x v="1"/>
  </r>
  <r>
    <x v="2"/>
    <n v="20"/>
    <x v="5"/>
    <x v="1"/>
  </r>
  <r>
    <x v="2"/>
    <n v="20"/>
    <x v="3"/>
    <x v="0"/>
  </r>
  <r>
    <x v="3"/>
    <n v="20"/>
    <x v="0"/>
    <x v="1"/>
  </r>
  <r>
    <x v="3"/>
    <n v="20"/>
    <x v="2"/>
    <x v="0"/>
  </r>
  <r>
    <x v="3"/>
    <n v="20"/>
    <x v="6"/>
    <x v="1"/>
  </r>
  <r>
    <x v="3"/>
    <n v="20"/>
    <x v="1"/>
    <x v="1"/>
  </r>
  <r>
    <x v="4"/>
    <n v="20"/>
    <x v="4"/>
    <x v="1"/>
  </r>
  <r>
    <x v="4"/>
    <n v="20"/>
    <x v="0"/>
    <x v="0"/>
  </r>
  <r>
    <x v="4"/>
    <n v="20"/>
    <x v="7"/>
    <x v="2"/>
  </r>
  <r>
    <x v="5"/>
    <n v="19"/>
    <x v="0"/>
    <x v="1"/>
  </r>
  <r>
    <x v="5"/>
    <n v="19"/>
    <x v="0"/>
    <x v="1"/>
  </r>
  <r>
    <x v="5"/>
    <n v="19"/>
    <x v="2"/>
    <x v="2"/>
  </r>
  <r>
    <x v="5"/>
    <n v="19"/>
    <x v="1"/>
    <x v="2"/>
  </r>
  <r>
    <x v="5"/>
    <n v="19"/>
    <x v="4"/>
    <x v="0"/>
  </r>
  <r>
    <x v="6"/>
    <n v="19"/>
    <x v="0"/>
    <x v="1"/>
  </r>
  <r>
    <x v="6"/>
    <n v="19"/>
    <x v="2"/>
    <x v="1"/>
  </r>
  <r>
    <x v="6"/>
    <n v="19"/>
    <x v="8"/>
    <x v="1"/>
  </r>
  <r>
    <x v="6"/>
    <n v="19"/>
    <x v="2"/>
    <x v="2"/>
  </r>
  <r>
    <x v="5"/>
    <n v="19"/>
    <x v="4"/>
    <x v="2"/>
  </r>
  <r>
    <x v="6"/>
    <n v="19"/>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1" firstHeaderRow="0" firstDataRow="1" firstDataCol="1"/>
  <pivotFields count="4">
    <pivotField axis="axisRow" numFmtId="16" showAll="0" defaultSubtotal="0">
      <items count="24">
        <item sd="0" m="1" x="20"/>
        <item sd="0" m="1" x="15"/>
        <item sd="0" m="1" x="12"/>
        <item sd="0" m="1" x="21"/>
        <item sd="0" m="1" x="9"/>
        <item sd="0" m="1" x="17"/>
        <item sd="0" m="1" x="23"/>
        <item sd="0" m="1" x="14"/>
        <item sd="0" m="1" x="11"/>
        <item sd="0" m="1" x="19"/>
        <item sd="0" m="1" x="7"/>
        <item sd="0" m="1" x="16"/>
        <item sd="0" m="1" x="8"/>
        <item sd="0" m="1" x="22"/>
        <item sd="0" m="1" x="13"/>
        <item sd="0" m="1" x="10"/>
        <item sd="0" m="1" x="18"/>
        <item sd="0" x="4"/>
        <item sd="0" x="5"/>
        <item sd="0" x="6"/>
        <item sd="0" x="2"/>
        <item sd="0" x="3"/>
        <item sd="0" x="0"/>
        <item sd="0" x="1"/>
      </items>
    </pivotField>
    <pivotField showAll="0"/>
    <pivotField axis="axisRow" showAll="0" defaultSubtotal="0">
      <items count="9">
        <item x="0"/>
        <item x="3"/>
        <item x="2"/>
        <item x="1"/>
        <item x="8"/>
        <item x="4"/>
        <item x="6"/>
        <item x="5"/>
        <item x="7"/>
      </items>
    </pivotField>
    <pivotField axis="axisCol" showAll="0">
      <items count="5">
        <item x="0"/>
        <item x="1"/>
        <item x="2"/>
        <item m="1" x="3"/>
        <item t="default"/>
      </items>
    </pivotField>
  </pivotFields>
  <rowFields count="2">
    <field x="0"/>
    <field x="2"/>
  </rowFields>
  <rowItems count="8">
    <i>
      <x v="17"/>
    </i>
    <i>
      <x v="18"/>
    </i>
    <i>
      <x v="19"/>
    </i>
    <i>
      <x v="20"/>
    </i>
    <i>
      <x v="21"/>
    </i>
    <i>
      <x v="22"/>
    </i>
    <i>
      <x v="23"/>
    </i>
    <i t="grand">
      <x/>
    </i>
  </rowItems>
  <colFields count="1">
    <field x="3"/>
  </colFields>
  <colItems count="4">
    <i>
      <x/>
    </i>
    <i>
      <x v="1"/>
    </i>
    <i>
      <x v="2"/>
    </i>
    <i t="grand">
      <x/>
    </i>
  </colItems>
  <formats count="3">
    <format dxfId="2">
      <pivotArea collapsedLevelsAreSubtotals="1" fieldPosition="0">
        <references count="1">
          <reference field="0" count="0"/>
        </references>
      </pivotArea>
    </format>
    <format dxfId="1">
      <pivotArea collapsedLevelsAreSubtotals="1" fieldPosition="0">
        <references count="1">
          <reference field="0" count="0"/>
        </references>
      </pivotArea>
    </format>
    <format dxfId="0">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fanchcreation.eu/heure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82"/>
  <sheetViews>
    <sheetView tabSelected="1" workbookViewId="0">
      <selection activeCell="E11" sqref="E11"/>
    </sheetView>
  </sheetViews>
  <sheetFormatPr baseColWidth="10" defaultColWidth="9.140625" defaultRowHeight="15" x14ac:dyDescent="0.25"/>
  <cols>
    <col min="1" max="1" width="7.85546875" style="5" bestFit="1" customWidth="1"/>
    <col min="2" max="2" width="8.140625" style="13" bestFit="1" customWidth="1"/>
    <col min="3" max="3" width="17" style="10" bestFit="1" customWidth="1"/>
    <col min="4" max="4" width="15.42578125" style="5" bestFit="1" customWidth="1"/>
    <col min="5" max="5" width="45.5703125" style="11" customWidth="1"/>
    <col min="6" max="6" width="48.7109375" style="11" customWidth="1"/>
    <col min="7" max="10" width="9.140625" style="8"/>
    <col min="11" max="11" width="19.85546875" style="8" customWidth="1"/>
    <col min="12" max="16384" width="9.140625" style="8"/>
  </cols>
  <sheetData>
    <row r="1" spans="1:6" ht="24" customHeight="1" x14ac:dyDescent="0.25">
      <c r="A1" s="4" t="s">
        <v>2</v>
      </c>
      <c r="B1" s="12" t="s">
        <v>11</v>
      </c>
      <c r="C1" s="6" t="s">
        <v>25</v>
      </c>
      <c r="D1" s="4" t="s">
        <v>3</v>
      </c>
      <c r="E1" s="7" t="s">
        <v>0</v>
      </c>
      <c r="F1" s="7" t="s">
        <v>1</v>
      </c>
    </row>
    <row r="2" spans="1:6" x14ac:dyDescent="0.25">
      <c r="A2" s="16">
        <v>43250</v>
      </c>
      <c r="B2" s="17">
        <f t="shared" ref="B2" si="0">WEEKNUM(A2)</f>
        <v>22</v>
      </c>
      <c r="C2" s="18">
        <v>0.75</v>
      </c>
      <c r="D2" s="19" t="s">
        <v>8</v>
      </c>
      <c r="E2" s="14" t="s">
        <v>106</v>
      </c>
      <c r="F2" s="9"/>
    </row>
    <row r="3" spans="1:6" x14ac:dyDescent="0.25">
      <c r="A3" s="16">
        <v>43250</v>
      </c>
      <c r="B3" s="17">
        <f t="shared" ref="B3" si="1">WEEKNUM(A3)</f>
        <v>22</v>
      </c>
      <c r="C3" s="18">
        <v>0.5</v>
      </c>
      <c r="D3" s="19" t="s">
        <v>8</v>
      </c>
      <c r="E3" s="14" t="s">
        <v>105</v>
      </c>
      <c r="F3" s="9"/>
    </row>
    <row r="4" spans="1:6" ht="30" x14ac:dyDescent="0.25">
      <c r="A4" s="16">
        <v>43250</v>
      </c>
      <c r="B4" s="17">
        <f t="shared" ref="B4" si="2">WEEKNUM(A4)</f>
        <v>22</v>
      </c>
      <c r="C4" s="18">
        <v>0.5</v>
      </c>
      <c r="D4" s="19" t="s">
        <v>7</v>
      </c>
      <c r="E4" s="14" t="s">
        <v>104</v>
      </c>
      <c r="F4" s="9"/>
    </row>
    <row r="5" spans="1:6" ht="30" x14ac:dyDescent="0.25">
      <c r="A5" s="16">
        <v>43250</v>
      </c>
      <c r="B5" s="17">
        <f t="shared" ref="B5" si="3">WEEKNUM(A5)</f>
        <v>22</v>
      </c>
      <c r="C5" s="18">
        <v>1</v>
      </c>
      <c r="D5" s="19" t="s">
        <v>6</v>
      </c>
      <c r="E5" s="14" t="s">
        <v>103</v>
      </c>
      <c r="F5" s="9"/>
    </row>
    <row r="6" spans="1:6" x14ac:dyDescent="0.25">
      <c r="A6" s="16">
        <v>43250</v>
      </c>
      <c r="B6" s="17">
        <f t="shared" ref="B6" si="4">WEEKNUM(A6)</f>
        <v>22</v>
      </c>
      <c r="C6" s="18">
        <v>0.5</v>
      </c>
      <c r="D6" s="19" t="s">
        <v>8</v>
      </c>
      <c r="E6" s="14" t="s">
        <v>70</v>
      </c>
      <c r="F6" s="9"/>
    </row>
    <row r="7" spans="1:6" ht="30" x14ac:dyDescent="0.25">
      <c r="A7" s="16">
        <v>43250</v>
      </c>
      <c r="B7" s="17">
        <f t="shared" ref="B7" si="5">WEEKNUM(A7)</f>
        <v>22</v>
      </c>
      <c r="C7" s="18">
        <v>1</v>
      </c>
      <c r="D7" s="19" t="s">
        <v>6</v>
      </c>
      <c r="E7" s="14" t="s">
        <v>100</v>
      </c>
      <c r="F7" s="9"/>
    </row>
    <row r="8" spans="1:6" ht="30" x14ac:dyDescent="0.25">
      <c r="A8" s="16">
        <v>43250</v>
      </c>
      <c r="B8" s="17">
        <f t="shared" ref="B8" si="6">WEEKNUM(A8)</f>
        <v>22</v>
      </c>
      <c r="C8" s="18">
        <v>0.75</v>
      </c>
      <c r="D8" s="19" t="s">
        <v>6</v>
      </c>
      <c r="E8" s="14" t="s">
        <v>102</v>
      </c>
      <c r="F8" s="9" t="s">
        <v>101</v>
      </c>
    </row>
    <row r="9" spans="1:6" ht="45" x14ac:dyDescent="0.25">
      <c r="A9" s="16">
        <v>43249</v>
      </c>
      <c r="B9" s="17">
        <f t="shared" ref="B9" si="7">WEEKNUM(A9)</f>
        <v>22</v>
      </c>
      <c r="C9" s="18">
        <v>1</v>
      </c>
      <c r="D9" s="19" t="s">
        <v>6</v>
      </c>
      <c r="E9" s="14" t="s">
        <v>98</v>
      </c>
      <c r="F9" s="9" t="s">
        <v>99</v>
      </c>
    </row>
    <row r="10" spans="1:6" ht="60" x14ac:dyDescent="0.25">
      <c r="A10" s="16">
        <v>43249</v>
      </c>
      <c r="B10" s="17">
        <f t="shared" ref="B10" si="8">WEEKNUM(A10)</f>
        <v>22</v>
      </c>
      <c r="C10" s="18">
        <v>1</v>
      </c>
      <c r="D10" s="19" t="s">
        <v>6</v>
      </c>
      <c r="E10" s="14" t="s">
        <v>96</v>
      </c>
      <c r="F10" s="9" t="s">
        <v>97</v>
      </c>
    </row>
    <row r="11" spans="1:6" ht="45" x14ac:dyDescent="0.25">
      <c r="A11" s="16">
        <v>43249</v>
      </c>
      <c r="B11" s="17">
        <f t="shared" ref="B11" si="9">WEEKNUM(A11)</f>
        <v>22</v>
      </c>
      <c r="C11" s="18">
        <v>6</v>
      </c>
      <c r="D11" s="19" t="s">
        <v>6</v>
      </c>
      <c r="E11" s="14" t="s">
        <v>95</v>
      </c>
      <c r="F11" s="9" t="s">
        <v>94</v>
      </c>
    </row>
    <row r="12" spans="1:6" x14ac:dyDescent="0.25">
      <c r="A12" s="16">
        <v>43249</v>
      </c>
      <c r="B12" s="17">
        <f t="shared" ref="B12" si="10">WEEKNUM(A12)</f>
        <v>22</v>
      </c>
      <c r="C12" s="18">
        <v>0.5</v>
      </c>
      <c r="D12" s="19" t="s">
        <v>9</v>
      </c>
      <c r="E12" s="14" t="s">
        <v>93</v>
      </c>
      <c r="F12" s="9"/>
    </row>
    <row r="13" spans="1:6" x14ac:dyDescent="0.25">
      <c r="A13" s="16">
        <v>43245</v>
      </c>
      <c r="B13" s="17">
        <f t="shared" ref="B13" si="11">WEEKNUM(A13)</f>
        <v>21</v>
      </c>
      <c r="C13" s="18">
        <v>0.5</v>
      </c>
      <c r="D13" s="19" t="s">
        <v>8</v>
      </c>
      <c r="E13" s="14" t="s">
        <v>92</v>
      </c>
      <c r="F13" s="9"/>
    </row>
    <row r="14" spans="1:6" x14ac:dyDescent="0.25">
      <c r="A14" s="16">
        <v>43245</v>
      </c>
      <c r="B14" s="17">
        <f t="shared" ref="B14" si="12">WEEKNUM(A14)</f>
        <v>21</v>
      </c>
      <c r="C14" s="18">
        <v>1</v>
      </c>
      <c r="D14" s="19" t="s">
        <v>8</v>
      </c>
      <c r="E14" s="14" t="s">
        <v>91</v>
      </c>
      <c r="F14" s="9"/>
    </row>
    <row r="15" spans="1:6" ht="30" x14ac:dyDescent="0.25">
      <c r="A15" s="16">
        <v>43245</v>
      </c>
      <c r="B15" s="17">
        <f t="shared" ref="B15" si="13">WEEKNUM(A15)</f>
        <v>21</v>
      </c>
      <c r="C15" s="18">
        <v>0.5</v>
      </c>
      <c r="D15" s="19" t="s">
        <v>8</v>
      </c>
      <c r="E15" s="14" t="s">
        <v>90</v>
      </c>
      <c r="F15" s="9"/>
    </row>
    <row r="16" spans="1:6" ht="30" x14ac:dyDescent="0.25">
      <c r="A16" s="16">
        <v>43245</v>
      </c>
      <c r="B16" s="17">
        <f t="shared" ref="B16" si="14">WEEKNUM(A16)</f>
        <v>21</v>
      </c>
      <c r="C16" s="18">
        <v>1</v>
      </c>
      <c r="D16" s="19" t="s">
        <v>6</v>
      </c>
      <c r="E16" s="14" t="s">
        <v>88</v>
      </c>
      <c r="F16" s="9" t="s">
        <v>89</v>
      </c>
    </row>
    <row r="17" spans="1:6" x14ac:dyDescent="0.25">
      <c r="A17" s="16">
        <v>43245</v>
      </c>
      <c r="B17" s="17">
        <f t="shared" ref="B17" si="15">WEEKNUM(A17)</f>
        <v>21</v>
      </c>
      <c r="C17" s="18">
        <v>0.5</v>
      </c>
      <c r="D17" s="19" t="s">
        <v>6</v>
      </c>
      <c r="E17" s="14" t="s">
        <v>87</v>
      </c>
      <c r="F17" s="9"/>
    </row>
    <row r="18" spans="1:6" x14ac:dyDescent="0.25">
      <c r="A18" s="16">
        <v>43245</v>
      </c>
      <c r="B18" s="17">
        <f t="shared" ref="B18" si="16">WEEKNUM(A18)</f>
        <v>21</v>
      </c>
      <c r="C18" s="18">
        <v>0.25</v>
      </c>
      <c r="D18" s="19" t="s">
        <v>8</v>
      </c>
      <c r="E18" s="14" t="s">
        <v>83</v>
      </c>
      <c r="F18" s="9"/>
    </row>
    <row r="19" spans="1:6" ht="45" x14ac:dyDescent="0.25">
      <c r="A19" s="16">
        <v>43245</v>
      </c>
      <c r="B19" s="17">
        <f t="shared" ref="B19" si="17">WEEKNUM(A19)</f>
        <v>21</v>
      </c>
      <c r="C19" s="18">
        <v>0.5</v>
      </c>
      <c r="D19" s="19" t="s">
        <v>8</v>
      </c>
      <c r="E19" s="14" t="s">
        <v>82</v>
      </c>
      <c r="F19" s="9"/>
    </row>
    <row r="20" spans="1:6" ht="60" x14ac:dyDescent="0.25">
      <c r="A20" s="16">
        <v>43245</v>
      </c>
      <c r="B20" s="17">
        <f t="shared" ref="B20" si="18">WEEKNUM(A20)</f>
        <v>21</v>
      </c>
      <c r="C20" s="18">
        <v>1.75</v>
      </c>
      <c r="D20" s="19" t="s">
        <v>6</v>
      </c>
      <c r="E20" s="14" t="s">
        <v>81</v>
      </c>
      <c r="F20" s="9"/>
    </row>
    <row r="21" spans="1:6" x14ac:dyDescent="0.25">
      <c r="A21" s="16">
        <v>43245</v>
      </c>
      <c r="B21" s="17">
        <f t="shared" ref="B21" si="19">WEEKNUM(A21)</f>
        <v>21</v>
      </c>
      <c r="C21" s="18">
        <v>0.5</v>
      </c>
      <c r="D21" s="19" t="s">
        <v>8</v>
      </c>
      <c r="E21" s="14" t="s">
        <v>71</v>
      </c>
      <c r="F21" s="9"/>
    </row>
    <row r="22" spans="1:6" x14ac:dyDescent="0.25">
      <c r="A22" s="16">
        <v>43245</v>
      </c>
      <c r="B22" s="17">
        <f t="shared" ref="B22" si="20">WEEKNUM(A22)</f>
        <v>21</v>
      </c>
      <c r="C22" s="18">
        <v>0.5</v>
      </c>
      <c r="D22" s="19" t="s">
        <v>8</v>
      </c>
      <c r="E22" s="14" t="s">
        <v>70</v>
      </c>
      <c r="F22" s="9"/>
    </row>
    <row r="23" spans="1:6" x14ac:dyDescent="0.25">
      <c r="A23" s="16">
        <v>43244</v>
      </c>
      <c r="B23" s="17">
        <f t="shared" ref="B23" si="21">WEEKNUM(A23)</f>
        <v>21</v>
      </c>
      <c r="C23" s="18">
        <v>1</v>
      </c>
      <c r="D23" s="19" t="s">
        <v>6</v>
      </c>
      <c r="E23" s="14" t="s">
        <v>86</v>
      </c>
      <c r="F23" s="9"/>
    </row>
    <row r="24" spans="1:6" x14ac:dyDescent="0.25">
      <c r="A24" s="16">
        <v>43244</v>
      </c>
      <c r="B24" s="17">
        <f t="shared" ref="B24" si="22">WEEKNUM(A24)</f>
        <v>21</v>
      </c>
      <c r="C24" s="18">
        <v>2.5</v>
      </c>
      <c r="D24" s="19" t="s">
        <v>6</v>
      </c>
      <c r="E24" s="14" t="s">
        <v>85</v>
      </c>
      <c r="F24" s="9"/>
    </row>
    <row r="25" spans="1:6" ht="30" x14ac:dyDescent="0.25">
      <c r="A25" s="16">
        <v>43244</v>
      </c>
      <c r="B25" s="17">
        <f t="shared" ref="B25" si="23">WEEKNUM(A25)</f>
        <v>21</v>
      </c>
      <c r="C25" s="18">
        <v>2.5</v>
      </c>
      <c r="D25" s="19" t="s">
        <v>6</v>
      </c>
      <c r="E25" s="14" t="s">
        <v>84</v>
      </c>
      <c r="F25" s="9"/>
    </row>
    <row r="26" spans="1:6" ht="60" x14ac:dyDescent="0.25">
      <c r="A26" s="16">
        <v>43244</v>
      </c>
      <c r="B26" s="17">
        <f t="shared" ref="B26" si="24">WEEKNUM(A26)</f>
        <v>21</v>
      </c>
      <c r="C26" s="18">
        <v>0.5</v>
      </c>
      <c r="D26" s="19" t="s">
        <v>6</v>
      </c>
      <c r="E26" s="14" t="s">
        <v>53</v>
      </c>
      <c r="F26" s="9" t="s">
        <v>80</v>
      </c>
    </row>
    <row r="27" spans="1:6" ht="75" x14ac:dyDescent="0.25">
      <c r="A27" s="16">
        <v>43244</v>
      </c>
      <c r="B27" s="17">
        <f t="shared" ref="B27" si="25">WEEKNUM(A27)</f>
        <v>21</v>
      </c>
      <c r="C27" s="18">
        <v>2.5</v>
      </c>
      <c r="D27" s="19" t="s">
        <v>6</v>
      </c>
      <c r="E27" s="14" t="s">
        <v>78</v>
      </c>
      <c r="F27" s="9" t="s">
        <v>77</v>
      </c>
    </row>
    <row r="28" spans="1:6" ht="30" x14ac:dyDescent="0.25">
      <c r="A28" s="16">
        <v>43243</v>
      </c>
      <c r="B28" s="17">
        <f t="shared" ref="B28" si="26">WEEKNUM(A28)</f>
        <v>21</v>
      </c>
      <c r="C28" s="18">
        <v>0.5</v>
      </c>
      <c r="D28" s="19" t="s">
        <v>8</v>
      </c>
      <c r="E28" s="14" t="s">
        <v>76</v>
      </c>
      <c r="F28" s="9"/>
    </row>
    <row r="29" spans="1:6" x14ac:dyDescent="0.25">
      <c r="A29" s="16">
        <v>43243</v>
      </c>
      <c r="B29" s="17">
        <f t="shared" ref="B29" si="27">WEEKNUM(A29)</f>
        <v>21</v>
      </c>
      <c r="C29" s="18">
        <v>0.5</v>
      </c>
      <c r="D29" s="19" t="s">
        <v>8</v>
      </c>
      <c r="E29" s="14" t="s">
        <v>75</v>
      </c>
      <c r="F29" s="9"/>
    </row>
    <row r="30" spans="1:6" x14ac:dyDescent="0.25">
      <c r="A30" s="16">
        <v>43243</v>
      </c>
      <c r="B30" s="17">
        <f t="shared" ref="B30" si="28">WEEKNUM(A30)</f>
        <v>21</v>
      </c>
      <c r="C30" s="18">
        <v>0.67</v>
      </c>
      <c r="D30" s="19" t="s">
        <v>8</v>
      </c>
      <c r="E30" s="14" t="s">
        <v>74</v>
      </c>
      <c r="F30" s="9"/>
    </row>
    <row r="31" spans="1:6" ht="30" x14ac:dyDescent="0.25">
      <c r="A31" s="16">
        <v>43243</v>
      </c>
      <c r="B31" s="17">
        <f t="shared" ref="B31" si="29">WEEKNUM(A31)</f>
        <v>21</v>
      </c>
      <c r="C31" s="18">
        <v>2.5</v>
      </c>
      <c r="D31" s="19" t="s">
        <v>6</v>
      </c>
      <c r="E31" s="14" t="s">
        <v>79</v>
      </c>
      <c r="F31" s="9"/>
    </row>
    <row r="32" spans="1:6" ht="60" x14ac:dyDescent="0.25">
      <c r="A32" s="16">
        <v>43243</v>
      </c>
      <c r="B32" s="17">
        <f t="shared" ref="B32" si="30">WEEKNUM(A32)</f>
        <v>21</v>
      </c>
      <c r="C32" s="18">
        <v>0.5</v>
      </c>
      <c r="D32" s="19" t="s">
        <v>7</v>
      </c>
      <c r="E32" s="14" t="s">
        <v>73</v>
      </c>
      <c r="F32" s="9"/>
    </row>
    <row r="33" spans="1:6" x14ac:dyDescent="0.25">
      <c r="A33" s="16">
        <v>43243</v>
      </c>
      <c r="B33" s="17">
        <f t="shared" ref="B33" si="31">WEEKNUM(A33)</f>
        <v>21</v>
      </c>
      <c r="C33" s="18">
        <v>0.33</v>
      </c>
      <c r="D33" s="19" t="s">
        <v>5</v>
      </c>
      <c r="E33" s="14" t="s">
        <v>72</v>
      </c>
      <c r="F33" s="9"/>
    </row>
    <row r="34" spans="1:6" x14ac:dyDescent="0.25">
      <c r="A34" s="16">
        <v>43243</v>
      </c>
      <c r="B34" s="17">
        <f t="shared" ref="B34" si="32">WEEKNUM(A34)</f>
        <v>21</v>
      </c>
      <c r="C34" s="18">
        <v>0.5</v>
      </c>
      <c r="D34" s="19" t="s">
        <v>8</v>
      </c>
      <c r="E34" s="14" t="s">
        <v>71</v>
      </c>
      <c r="F34" s="9"/>
    </row>
    <row r="35" spans="1:6" x14ac:dyDescent="0.25">
      <c r="A35" s="16">
        <v>43243</v>
      </c>
      <c r="B35" s="17">
        <f t="shared" ref="B35" si="33">WEEKNUM(A35)</f>
        <v>21</v>
      </c>
      <c r="C35" s="18">
        <v>0.5</v>
      </c>
      <c r="D35" s="19" t="s">
        <v>8</v>
      </c>
      <c r="E35" s="14" t="s">
        <v>70</v>
      </c>
      <c r="F35" s="9"/>
    </row>
    <row r="36" spans="1:6" ht="30" x14ac:dyDescent="0.25">
      <c r="A36" s="16">
        <v>43242</v>
      </c>
      <c r="B36" s="17">
        <f t="shared" ref="B36" si="34">WEEKNUM(A36)</f>
        <v>21</v>
      </c>
      <c r="C36" s="18">
        <v>1.5</v>
      </c>
      <c r="D36" s="19" t="s">
        <v>6</v>
      </c>
      <c r="E36" s="14" t="s">
        <v>67</v>
      </c>
      <c r="F36" s="9" t="s">
        <v>68</v>
      </c>
    </row>
    <row r="37" spans="1:6" ht="45" x14ac:dyDescent="0.25">
      <c r="A37" s="16">
        <v>43242</v>
      </c>
      <c r="B37" s="17">
        <f t="shared" ref="B37" si="35">WEEKNUM(A37)</f>
        <v>21</v>
      </c>
      <c r="C37" s="18">
        <v>2.5</v>
      </c>
      <c r="D37" s="19" t="s">
        <v>6</v>
      </c>
      <c r="E37" s="14" t="s">
        <v>65</v>
      </c>
      <c r="F37" s="9" t="s">
        <v>66</v>
      </c>
    </row>
    <row r="38" spans="1:6" ht="45" x14ac:dyDescent="0.25">
      <c r="A38" s="16">
        <v>43242</v>
      </c>
      <c r="B38" s="17">
        <f t="shared" ref="B38" si="36">WEEKNUM(A38)</f>
        <v>21</v>
      </c>
      <c r="C38" s="18">
        <v>3.5</v>
      </c>
      <c r="D38" s="19" t="s">
        <v>6</v>
      </c>
      <c r="E38" s="14" t="s">
        <v>69</v>
      </c>
      <c r="F38" s="9"/>
    </row>
    <row r="39" spans="1:6" ht="45" x14ac:dyDescent="0.25">
      <c r="A39" s="16">
        <v>43242</v>
      </c>
      <c r="B39" s="17">
        <f t="shared" ref="B39" si="37">WEEKNUM(A39)</f>
        <v>21</v>
      </c>
      <c r="C39" s="18">
        <v>0.5</v>
      </c>
      <c r="D39" s="19" t="s">
        <v>8</v>
      </c>
      <c r="E39" s="14" t="s">
        <v>63</v>
      </c>
      <c r="F39" s="9" t="s">
        <v>64</v>
      </c>
    </row>
    <row r="40" spans="1:6" ht="30" x14ac:dyDescent="0.25">
      <c r="A40" s="16">
        <v>43238</v>
      </c>
      <c r="B40" s="17">
        <f t="shared" ref="B40" si="38">WEEKNUM(A40)</f>
        <v>20</v>
      </c>
      <c r="C40" s="18">
        <v>0.5</v>
      </c>
      <c r="D40" s="19" t="s">
        <v>8</v>
      </c>
      <c r="E40" s="14" t="s">
        <v>62</v>
      </c>
      <c r="F40" s="9"/>
    </row>
    <row r="41" spans="1:6" x14ac:dyDescent="0.25">
      <c r="A41" s="16">
        <v>43238</v>
      </c>
      <c r="B41" s="17">
        <f t="shared" ref="B41" si="39">WEEKNUM(A41)</f>
        <v>20</v>
      </c>
      <c r="C41" s="18">
        <v>0.5</v>
      </c>
      <c r="D41" s="19" t="s">
        <v>8</v>
      </c>
      <c r="E41" s="14" t="s">
        <v>60</v>
      </c>
      <c r="F41" s="9"/>
    </row>
    <row r="42" spans="1:6" x14ac:dyDescent="0.25">
      <c r="A42" s="16">
        <v>43238</v>
      </c>
      <c r="B42" s="17">
        <f t="shared" ref="B42" si="40">WEEKNUM(A42)</f>
        <v>20</v>
      </c>
      <c r="C42" s="18">
        <v>1.5</v>
      </c>
      <c r="D42" s="19" t="s">
        <v>8</v>
      </c>
      <c r="E42" s="14" t="s">
        <v>59</v>
      </c>
      <c r="F42" s="9"/>
    </row>
    <row r="43" spans="1:6" ht="30" x14ac:dyDescent="0.25">
      <c r="A43" s="16">
        <v>43238</v>
      </c>
      <c r="B43" s="17">
        <f t="shared" ref="B43" si="41">WEEKNUM(A43)</f>
        <v>20</v>
      </c>
      <c r="C43" s="18">
        <v>1</v>
      </c>
      <c r="D43" s="19" t="s">
        <v>6</v>
      </c>
      <c r="E43" s="14" t="s">
        <v>61</v>
      </c>
      <c r="F43" s="9"/>
    </row>
    <row r="44" spans="1:6" x14ac:dyDescent="0.25">
      <c r="A44" s="16">
        <v>43238</v>
      </c>
      <c r="B44" s="17">
        <f t="shared" ref="B44" si="42">WEEKNUM(A44)</f>
        <v>20</v>
      </c>
      <c r="C44" s="18">
        <v>0.5</v>
      </c>
      <c r="D44" s="19" t="s">
        <v>8</v>
      </c>
      <c r="E44" s="14" t="s">
        <v>58</v>
      </c>
      <c r="F44" s="9"/>
    </row>
    <row r="45" spans="1:6" x14ac:dyDescent="0.25">
      <c r="A45" s="16">
        <v>43238</v>
      </c>
      <c r="B45" s="17">
        <f t="shared" ref="B45" si="43">WEEKNUM(A45)</f>
        <v>20</v>
      </c>
      <c r="C45" s="18">
        <v>1.5</v>
      </c>
      <c r="D45" s="19" t="s">
        <v>6</v>
      </c>
      <c r="E45" s="14" t="s">
        <v>57</v>
      </c>
      <c r="F45" s="9"/>
    </row>
    <row r="46" spans="1:6" ht="30" x14ac:dyDescent="0.25">
      <c r="A46" s="16">
        <v>43238</v>
      </c>
      <c r="B46" s="17">
        <f t="shared" ref="B46" si="44">WEEKNUM(A46)</f>
        <v>20</v>
      </c>
      <c r="C46" s="18">
        <v>0.5</v>
      </c>
      <c r="D46" s="19" t="s">
        <v>6</v>
      </c>
      <c r="E46" s="14" t="s">
        <v>56</v>
      </c>
      <c r="F46" s="9"/>
    </row>
    <row r="47" spans="1:6" ht="30" x14ac:dyDescent="0.25">
      <c r="A47" s="16">
        <v>43238</v>
      </c>
      <c r="B47" s="17">
        <f t="shared" ref="B47" si="45">WEEKNUM(A47)</f>
        <v>20</v>
      </c>
      <c r="C47" s="18">
        <v>0.5</v>
      </c>
      <c r="D47" s="19" t="s">
        <v>6</v>
      </c>
      <c r="E47" s="14" t="s">
        <v>55</v>
      </c>
      <c r="F47" s="9"/>
    </row>
    <row r="48" spans="1:6" x14ac:dyDescent="0.25">
      <c r="A48" s="16">
        <v>43238</v>
      </c>
      <c r="B48" s="17">
        <f t="shared" ref="B48" si="46">WEEKNUM(A48)</f>
        <v>20</v>
      </c>
      <c r="C48" s="18">
        <v>0.5</v>
      </c>
      <c r="D48" s="19" t="s">
        <v>6</v>
      </c>
      <c r="E48" s="14" t="s">
        <v>54</v>
      </c>
      <c r="F48" s="9"/>
    </row>
    <row r="49" spans="1:11" x14ac:dyDescent="0.25">
      <c r="A49" s="16">
        <v>43237</v>
      </c>
      <c r="B49" s="17">
        <f t="shared" ref="B49" si="47">WEEKNUM(A49)</f>
        <v>20</v>
      </c>
      <c r="C49" s="18">
        <v>0.5</v>
      </c>
      <c r="D49" s="19" t="s">
        <v>6</v>
      </c>
      <c r="E49" s="14" t="s">
        <v>53</v>
      </c>
      <c r="F49" s="9"/>
    </row>
    <row r="50" spans="1:11" ht="60" x14ac:dyDescent="0.25">
      <c r="A50" s="16">
        <v>43237</v>
      </c>
      <c r="B50" s="17">
        <f t="shared" ref="B50" si="48">WEEKNUM(A50)</f>
        <v>20</v>
      </c>
      <c r="C50" s="18">
        <v>0.5</v>
      </c>
      <c r="D50" s="19" t="s">
        <v>6</v>
      </c>
      <c r="E50" s="14" t="s">
        <v>51</v>
      </c>
      <c r="F50" s="9" t="s">
        <v>52</v>
      </c>
      <c r="K50" s="21"/>
    </row>
    <row r="51" spans="1:11" x14ac:dyDescent="0.25">
      <c r="A51" s="16">
        <v>43237</v>
      </c>
      <c r="B51" s="17">
        <f t="shared" ref="B51" si="49">WEEKNUM(A51)</f>
        <v>20</v>
      </c>
      <c r="C51" s="18">
        <v>0.5</v>
      </c>
      <c r="D51" s="19" t="s">
        <v>8</v>
      </c>
      <c r="E51" s="14" t="s">
        <v>50</v>
      </c>
      <c r="F51" s="9"/>
    </row>
    <row r="52" spans="1:11" ht="30" x14ac:dyDescent="0.25">
      <c r="A52" s="16">
        <v>43237</v>
      </c>
      <c r="B52" s="17">
        <f t="shared" ref="B52" si="50">WEEKNUM(A52)</f>
        <v>20</v>
      </c>
      <c r="C52" s="18">
        <v>0.75</v>
      </c>
      <c r="D52" s="19" t="s">
        <v>6</v>
      </c>
      <c r="E52" s="14" t="s">
        <v>47</v>
      </c>
      <c r="F52" s="9"/>
    </row>
    <row r="53" spans="1:11" ht="60" x14ac:dyDescent="0.25">
      <c r="A53" s="16">
        <v>43237</v>
      </c>
      <c r="B53" s="17">
        <f t="shared" ref="B53" si="51">WEEKNUM(A53)</f>
        <v>20</v>
      </c>
      <c r="C53" s="18">
        <v>2.5</v>
      </c>
      <c r="D53" s="19" t="s">
        <v>6</v>
      </c>
      <c r="E53" s="14" t="s">
        <v>48</v>
      </c>
      <c r="F53" s="9" t="s">
        <v>49</v>
      </c>
    </row>
    <row r="54" spans="1:11" x14ac:dyDescent="0.25">
      <c r="A54" s="16">
        <v>43237</v>
      </c>
      <c r="B54" s="17">
        <f t="shared" ref="B54" si="52">WEEKNUM(A54)</f>
        <v>20</v>
      </c>
      <c r="C54" s="18">
        <v>3.5</v>
      </c>
      <c r="D54" s="19" t="s">
        <v>6</v>
      </c>
      <c r="E54" s="14" t="s">
        <v>46</v>
      </c>
      <c r="F54" s="9"/>
    </row>
    <row r="55" spans="1:11" x14ac:dyDescent="0.25">
      <c r="A55" s="16">
        <v>43237</v>
      </c>
      <c r="B55" s="17">
        <f t="shared" ref="B55" si="53">WEEKNUM(A55)</f>
        <v>20</v>
      </c>
      <c r="C55" s="18">
        <v>0.75</v>
      </c>
      <c r="D55" s="19" t="s">
        <v>8</v>
      </c>
      <c r="E55" s="14" t="s">
        <v>44</v>
      </c>
      <c r="F55" s="9"/>
    </row>
    <row r="56" spans="1:11" ht="75" x14ac:dyDescent="0.25">
      <c r="A56" s="16">
        <v>43236</v>
      </c>
      <c r="B56" s="17">
        <f t="shared" ref="B56" si="54">WEEKNUM(A56)</f>
        <v>20</v>
      </c>
      <c r="C56" s="18">
        <v>0.5</v>
      </c>
      <c r="D56" s="19" t="s">
        <v>6</v>
      </c>
      <c r="E56" s="14" t="s">
        <v>45</v>
      </c>
      <c r="F56" s="9" t="s">
        <v>43</v>
      </c>
    </row>
    <row r="57" spans="1:11" ht="30" x14ac:dyDescent="0.25">
      <c r="A57" s="16">
        <v>43236</v>
      </c>
      <c r="B57" s="17">
        <f t="shared" ref="B57" si="55">WEEKNUM(A57)</f>
        <v>20</v>
      </c>
      <c r="C57" s="18">
        <v>1</v>
      </c>
      <c r="D57" s="19" t="s">
        <v>8</v>
      </c>
      <c r="E57" s="14" t="s">
        <v>42</v>
      </c>
      <c r="F57" s="9"/>
    </row>
    <row r="58" spans="1:11" ht="60" x14ac:dyDescent="0.25">
      <c r="A58" s="16">
        <v>43236</v>
      </c>
      <c r="B58" s="17">
        <f t="shared" ref="B58" si="56">WEEKNUM(A58)</f>
        <v>20</v>
      </c>
      <c r="C58" s="18">
        <v>3</v>
      </c>
      <c r="D58" s="19" t="s">
        <v>6</v>
      </c>
      <c r="E58" s="14" t="s">
        <v>40</v>
      </c>
      <c r="F58" s="9" t="s">
        <v>41</v>
      </c>
    </row>
    <row r="59" spans="1:11" ht="30" x14ac:dyDescent="0.25">
      <c r="A59" s="16">
        <v>43236</v>
      </c>
      <c r="B59" s="17">
        <f t="shared" ref="B59" si="57">WEEKNUM(A59)</f>
        <v>20</v>
      </c>
      <c r="C59" s="18">
        <v>1.5</v>
      </c>
      <c r="D59" s="19" t="s">
        <v>6</v>
      </c>
      <c r="E59" s="14" t="s">
        <v>38</v>
      </c>
      <c r="F59" s="9" t="s">
        <v>39</v>
      </c>
    </row>
    <row r="60" spans="1:11" ht="60" x14ac:dyDescent="0.25">
      <c r="A60" s="16">
        <v>43235</v>
      </c>
      <c r="B60" s="17">
        <f t="shared" ref="B60" si="58">WEEKNUM(A60)</f>
        <v>20</v>
      </c>
      <c r="C60" s="18">
        <v>2.5</v>
      </c>
      <c r="D60" s="19" t="s">
        <v>6</v>
      </c>
      <c r="E60" s="14" t="s">
        <v>36</v>
      </c>
      <c r="F60" s="9" t="s">
        <v>37</v>
      </c>
    </row>
    <row r="61" spans="1:11" ht="30" x14ac:dyDescent="0.25">
      <c r="A61" s="16">
        <v>43235</v>
      </c>
      <c r="B61" s="17">
        <f t="shared" ref="B61" si="59">WEEKNUM(A61)</f>
        <v>20</v>
      </c>
      <c r="C61" s="18">
        <v>0.5</v>
      </c>
      <c r="D61" s="19" t="s">
        <v>8</v>
      </c>
      <c r="E61" s="14" t="s">
        <v>35</v>
      </c>
      <c r="F61" s="9"/>
    </row>
    <row r="62" spans="1:11" ht="30" x14ac:dyDescent="0.25">
      <c r="A62" s="16">
        <v>43235</v>
      </c>
      <c r="B62" s="17">
        <f t="shared" ref="B62" si="60">WEEKNUM(A62)</f>
        <v>20</v>
      </c>
      <c r="C62" s="18">
        <v>5</v>
      </c>
      <c r="D62" s="19" t="s">
        <v>5</v>
      </c>
      <c r="E62" s="14" t="s">
        <v>34</v>
      </c>
      <c r="F62" s="9"/>
    </row>
    <row r="63" spans="1:11" ht="30" x14ac:dyDescent="0.25">
      <c r="A63" s="16">
        <v>43229</v>
      </c>
      <c r="B63" s="17">
        <f t="shared" ref="B63:B73" si="61">WEEKNUM(A63)</f>
        <v>19</v>
      </c>
      <c r="C63" s="18">
        <v>0.5</v>
      </c>
      <c r="D63" s="19" t="s">
        <v>6</v>
      </c>
      <c r="E63" s="14" t="s">
        <v>31</v>
      </c>
      <c r="F63" s="9"/>
    </row>
    <row r="64" spans="1:11" x14ac:dyDescent="0.25">
      <c r="A64" s="16">
        <v>43229</v>
      </c>
      <c r="B64" s="17">
        <f t="shared" si="61"/>
        <v>19</v>
      </c>
      <c r="C64" s="18">
        <v>0.5</v>
      </c>
      <c r="D64" s="19" t="s">
        <v>6</v>
      </c>
      <c r="E64" s="14" t="s">
        <v>30</v>
      </c>
      <c r="F64" s="9"/>
    </row>
    <row r="65" spans="1:11" ht="30" x14ac:dyDescent="0.25">
      <c r="A65" s="16">
        <v>43229</v>
      </c>
      <c r="B65" s="17">
        <f t="shared" si="61"/>
        <v>19</v>
      </c>
      <c r="C65" s="18">
        <v>1</v>
      </c>
      <c r="D65" s="19" t="s">
        <v>5</v>
      </c>
      <c r="E65" s="14" t="s">
        <v>33</v>
      </c>
      <c r="F65" s="9"/>
    </row>
    <row r="66" spans="1:11" ht="60" x14ac:dyDescent="0.25">
      <c r="A66" s="16">
        <v>43229</v>
      </c>
      <c r="B66" s="17">
        <f t="shared" si="61"/>
        <v>19</v>
      </c>
      <c r="C66" s="18">
        <v>1.5</v>
      </c>
      <c r="D66" s="19" t="s">
        <v>5</v>
      </c>
      <c r="E66" s="14" t="s">
        <v>28</v>
      </c>
      <c r="F66" s="9" t="s">
        <v>29</v>
      </c>
    </row>
    <row r="67" spans="1:11" ht="30" x14ac:dyDescent="0.25">
      <c r="A67" s="16">
        <v>43229</v>
      </c>
      <c r="B67" s="17">
        <f t="shared" si="61"/>
        <v>19</v>
      </c>
      <c r="C67" s="18">
        <v>2.5</v>
      </c>
      <c r="D67" s="19" t="s">
        <v>8</v>
      </c>
      <c r="E67" s="14" t="s">
        <v>32</v>
      </c>
      <c r="F67" s="9"/>
    </row>
    <row r="68" spans="1:11" ht="45" x14ac:dyDescent="0.25">
      <c r="A68" s="16">
        <v>43228</v>
      </c>
      <c r="B68" s="17">
        <f t="shared" si="61"/>
        <v>19</v>
      </c>
      <c r="C68" s="18">
        <v>0.5</v>
      </c>
      <c r="D68" s="19" t="s">
        <v>6</v>
      </c>
      <c r="E68" s="14" t="s">
        <v>27</v>
      </c>
      <c r="F68" s="9"/>
    </row>
    <row r="69" spans="1:11" ht="30" x14ac:dyDescent="0.25">
      <c r="A69" s="16">
        <v>43228</v>
      </c>
      <c r="B69" s="17">
        <f t="shared" si="61"/>
        <v>19</v>
      </c>
      <c r="C69" s="18">
        <v>1</v>
      </c>
      <c r="D69" s="19" t="s">
        <v>6</v>
      </c>
      <c r="E69" s="14" t="s">
        <v>24</v>
      </c>
      <c r="F69" s="9"/>
    </row>
    <row r="70" spans="1:11" ht="30" x14ac:dyDescent="0.25">
      <c r="A70" s="16">
        <v>43228</v>
      </c>
      <c r="B70" s="17">
        <f t="shared" si="61"/>
        <v>19</v>
      </c>
      <c r="C70" s="18">
        <v>2</v>
      </c>
      <c r="D70" s="19" t="s">
        <v>6</v>
      </c>
      <c r="E70" s="14" t="s">
        <v>23</v>
      </c>
      <c r="F70" s="9"/>
    </row>
    <row r="71" spans="1:11" ht="30" x14ac:dyDescent="0.25">
      <c r="A71" s="16">
        <v>43228</v>
      </c>
      <c r="B71" s="17">
        <f t="shared" si="61"/>
        <v>19</v>
      </c>
      <c r="C71" s="18">
        <v>1</v>
      </c>
      <c r="D71" s="19" t="s">
        <v>5</v>
      </c>
      <c r="E71" s="14" t="s">
        <v>22</v>
      </c>
      <c r="F71" s="9"/>
    </row>
    <row r="72" spans="1:11" ht="30" x14ac:dyDescent="0.25">
      <c r="A72" s="16">
        <v>43229</v>
      </c>
      <c r="B72" s="17">
        <f t="shared" si="61"/>
        <v>19</v>
      </c>
      <c r="C72" s="18">
        <v>2.5</v>
      </c>
      <c r="D72" s="19" t="s">
        <v>5</v>
      </c>
      <c r="E72" s="14" t="s">
        <v>19</v>
      </c>
      <c r="F72" s="9" t="s">
        <v>20</v>
      </c>
    </row>
    <row r="73" spans="1:11" ht="30" x14ac:dyDescent="0.25">
      <c r="A73" s="16">
        <v>43228</v>
      </c>
      <c r="B73" s="17">
        <f t="shared" si="61"/>
        <v>19</v>
      </c>
      <c r="C73" s="18">
        <v>1</v>
      </c>
      <c r="D73" s="19" t="s">
        <v>5</v>
      </c>
      <c r="E73" s="14" t="s">
        <v>18</v>
      </c>
      <c r="F73" s="9"/>
    </row>
    <row r="74" spans="1:11" ht="15.75" x14ac:dyDescent="0.25">
      <c r="I74" s="28" t="s">
        <v>12</v>
      </c>
      <c r="J74" s="29"/>
      <c r="K74" s="29"/>
    </row>
    <row r="75" spans="1:11" x14ac:dyDescent="0.25">
      <c r="I75" s="30" t="s">
        <v>13</v>
      </c>
      <c r="J75" s="31"/>
      <c r="K75" s="15">
        <v>0</v>
      </c>
    </row>
    <row r="76" spans="1:11" x14ac:dyDescent="0.25">
      <c r="I76" s="32" t="s">
        <v>14</v>
      </c>
      <c r="J76" s="33"/>
      <c r="K76" s="15">
        <v>8</v>
      </c>
    </row>
    <row r="77" spans="1:11" x14ac:dyDescent="0.25">
      <c r="I77" s="32" t="s">
        <v>15</v>
      </c>
      <c r="J77" s="33"/>
      <c r="K77" s="15">
        <v>6</v>
      </c>
    </row>
    <row r="78" spans="1:11" x14ac:dyDescent="0.25">
      <c r="I78" s="32" t="s">
        <v>16</v>
      </c>
      <c r="J78" s="33"/>
      <c r="K78" s="15">
        <v>9</v>
      </c>
    </row>
    <row r="79" spans="1:11" ht="15.75" thickBot="1" x14ac:dyDescent="0.3">
      <c r="I79" s="26" t="s">
        <v>17</v>
      </c>
      <c r="J79" s="27"/>
      <c r="K79" s="15">
        <v>7</v>
      </c>
    </row>
    <row r="80" spans="1:11" ht="15.75" thickBot="1" x14ac:dyDescent="0.3">
      <c r="I80" s="23" t="s">
        <v>21</v>
      </c>
      <c r="J80" s="24"/>
      <c r="K80" s="25"/>
    </row>
    <row r="82" spans="9:11" x14ac:dyDescent="0.25">
      <c r="I82" s="22" t="s">
        <v>26</v>
      </c>
      <c r="J82" s="22"/>
      <c r="K82" s="8">
        <f>SUM(K75:K79)</f>
        <v>30</v>
      </c>
    </row>
  </sheetData>
  <sheetProtection selectLockedCells="1"/>
  <mergeCells count="8">
    <mergeCell ref="I82:J82"/>
    <mergeCell ref="I80:K80"/>
    <mergeCell ref="I79:J79"/>
    <mergeCell ref="I74:K74"/>
    <mergeCell ref="I75:J75"/>
    <mergeCell ref="I76:J76"/>
    <mergeCell ref="I77:J77"/>
    <mergeCell ref="I78:J78"/>
  </mergeCells>
  <hyperlinks>
    <hyperlink ref="I80" r:id="rId1"/>
  </hyperlinks>
  <pageMargins left="0.7" right="0.7" top="0.75" bottom="0.75" header="0.3" footer="0.3"/>
  <pageSetup paperSize="152"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D2:D73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1"/>
  <sheetViews>
    <sheetView workbookViewId="0">
      <selection activeCell="B4" sqref="B4:E10"/>
    </sheetView>
  </sheetViews>
  <sheetFormatPr baseColWidth="10" defaultRowHeight="15" x14ac:dyDescent="0.25"/>
  <cols>
    <col min="1" max="1" width="12.5703125" customWidth="1"/>
    <col min="2" max="2" width="17" bestFit="1" customWidth="1"/>
    <col min="3" max="3" width="17.7109375" bestFit="1" customWidth="1"/>
    <col min="4" max="4" width="8" bestFit="1" customWidth="1"/>
    <col min="5"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B3" t="s">
        <v>8</v>
      </c>
      <c r="C3" t="s">
        <v>6</v>
      </c>
      <c r="D3" t="s">
        <v>5</v>
      </c>
      <c r="E3" t="s">
        <v>10</v>
      </c>
    </row>
    <row r="4" spans="1:5" x14ac:dyDescent="0.25">
      <c r="A4" s="3">
        <v>43235</v>
      </c>
      <c r="B4" s="20"/>
      <c r="C4" s="20"/>
      <c r="D4" s="20"/>
      <c r="E4" s="20"/>
    </row>
    <row r="5" spans="1:5" x14ac:dyDescent="0.25">
      <c r="A5" s="3">
        <v>43229</v>
      </c>
      <c r="B5" s="20"/>
      <c r="C5" s="20"/>
      <c r="D5" s="20"/>
      <c r="E5" s="20"/>
    </row>
    <row r="6" spans="1:5" x14ac:dyDescent="0.25">
      <c r="A6" s="3">
        <v>43228</v>
      </c>
      <c r="B6" s="20"/>
      <c r="C6" s="20"/>
      <c r="D6" s="20"/>
      <c r="E6" s="20"/>
    </row>
    <row r="7" spans="1:5" x14ac:dyDescent="0.25">
      <c r="A7" s="3">
        <v>43237</v>
      </c>
      <c r="B7" s="20"/>
      <c r="C7" s="20"/>
      <c r="D7" s="20"/>
      <c r="E7" s="20"/>
    </row>
    <row r="8" spans="1:5" x14ac:dyDescent="0.25">
      <c r="A8" s="3">
        <v>43236</v>
      </c>
      <c r="B8" s="20"/>
      <c r="C8" s="20"/>
      <c r="D8" s="20"/>
      <c r="E8" s="20"/>
    </row>
    <row r="9" spans="1:5" x14ac:dyDescent="0.25">
      <c r="A9" s="3">
        <v>43242</v>
      </c>
      <c r="B9" s="20"/>
      <c r="C9" s="20"/>
      <c r="D9" s="20"/>
      <c r="E9" s="20"/>
    </row>
    <row r="10" spans="1:5" x14ac:dyDescent="0.25">
      <c r="A10" s="3">
        <v>43238</v>
      </c>
      <c r="B10" s="20"/>
      <c r="C10" s="20"/>
      <c r="D10" s="20"/>
      <c r="E10" s="20"/>
    </row>
    <row r="11" spans="1:5" x14ac:dyDescent="0.25">
      <c r="A11" s="3" t="s">
        <v>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A3" sqref="A3"/>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2018-05-30T10:05:28Z</dcterms:modified>
</cp:coreProperties>
</file>