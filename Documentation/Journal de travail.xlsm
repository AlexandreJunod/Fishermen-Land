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 l="1"/>
  <c r="B4" i="1"/>
  <c r="B5" i="1"/>
  <c r="B6" i="1"/>
  <c r="B7" i="1"/>
  <c r="B8" i="1"/>
  <c r="B9" i="1"/>
  <c r="B10" i="1"/>
  <c r="B11" i="1"/>
  <c r="B12" i="1"/>
  <c r="B13" i="1"/>
  <c r="B14" i="1"/>
  <c r="B15" i="1" l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 l="1"/>
  <c r="B29" i="1" l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 l="1"/>
  <c r="B44" i="1"/>
  <c r="B45" i="1" l="1"/>
  <c r="B46" i="1"/>
  <c r="B47" i="1"/>
  <c r="B48" i="1"/>
  <c r="B49" i="1" l="1"/>
  <c r="B50" i="1"/>
  <c r="B51" i="1"/>
  <c r="B52" i="1" l="1"/>
  <c r="B53" i="1"/>
  <c r="B54" i="1"/>
  <c r="B55" i="1"/>
  <c r="K71" i="1"/>
  <c r="B56" i="1"/>
  <c r="B57" i="1" l="1"/>
  <c r="B58" i="1"/>
  <c r="B59" i="1"/>
  <c r="B60" i="1"/>
  <c r="B61" i="1"/>
  <c r="B62" i="1"/>
</calcChain>
</file>

<file path=xl/sharedStrings.xml><?xml version="1.0" encoding="utf-8"?>
<sst xmlns="http://schemas.openxmlformats.org/spreadsheetml/2006/main" count="161" uniqueCount="93">
  <si>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</si>
  <si>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</si>
  <si>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</si>
  <si>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</si>
  <si>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</si>
  <si>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</si>
  <si>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</si>
  <si>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</si>
  <si>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</si>
  <si>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</si>
  <si>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</si>
  <si>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</si>
  <si>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Temps de travail</t>
  </si>
  <si>
    <t>Lundi</t>
  </si>
  <si>
    <t>Mardi</t>
  </si>
  <si>
    <t>Mercredi</t>
  </si>
  <si>
    <t>Jeudi</t>
  </si>
  <si>
    <t>Vendredi</t>
  </si>
  <si>
    <t>Rencontrer l’expert et signer le cahier des charges</t>
  </si>
  <si>
    <t>Planification initiale</t>
  </si>
  <si>
    <t>Les serveurs tréllo ont planté et certaines données ont été perdues</t>
  </si>
  <si>
    <t xml:space="preserve">https://www.fanchcreation.eu/heures/ </t>
  </si>
  <si>
    <t>Lire le cahier des charges, et réfléchir à la meilleur façon de planifié le TPI</t>
  </si>
  <si>
    <t>Définir les différents use cases et commencer les scénarios</t>
  </si>
  <si>
    <t>Discuter avec le client sur le fonctionnement d'une partie de Fishermen Land</t>
  </si>
  <si>
    <t>Temps [période]</t>
  </si>
  <si>
    <t>Total semaine</t>
  </si>
  <si>
    <t>Mettre à jour le journal de travail, journal de bord, envoyer la planification initiale, commit le repository GitHub</t>
  </si>
  <si>
    <t>Modification de la planification initiale. Calculer le nombre de périodes nécessaires pour chaque tâche et les ajouter sur trello à l'aide de "Scrum for trello"</t>
  </si>
  <si>
    <t>En rajoutant le nombre de périodes nécessaires, j'ai pu me rendre compte que je n'avais pas bien planifié</t>
  </si>
  <si>
    <t>Commit le GitHub, envoyer les documents</t>
  </si>
  <si>
    <t>Mettre à jour le journal de travail et le journal de bord</t>
  </si>
  <si>
    <t>Illuster la page de titre à l'aide de textures trouvées sur internet et photoshop</t>
  </si>
  <si>
    <t>Compléter l'introduction, les objectifs et la planification initiale</t>
  </si>
  <si>
    <t>Implémenter les maquettes, les use cases et les scénarios</t>
  </si>
  <si>
    <t>Tenir a jour le journal de travail et répondre aux mails</t>
  </si>
  <si>
    <t>Créer le MCD et la base de données</t>
  </si>
  <si>
    <t>Réflexion sur la manière de gérer les scores et la façon de créer une place. Ce point sera surement repris dans la "Particularité 1" se trouvant dans la documentation.</t>
  </si>
  <si>
    <t>Gérer le système de connexion</t>
  </si>
  <si>
    <t>J'ai repris des bouts de code déjà existant, commenter et modifier certaines fonctions</t>
  </si>
  <si>
    <t>Lister les differentes parties disponibles et ajout des boutons pour rejoindre une partie</t>
  </si>
  <si>
    <t>Quelques changements dans la base de donnée ont étés faits. Lors de la réalisation je me suis rendu compte qu'on ne pouvait pas gérer correctement les paramétrages d'une partie</t>
  </si>
  <si>
    <t>Reprendre un MLD et MCD à jour, ajouter les maquettes, scénarios et uses cases</t>
  </si>
  <si>
    <t>Je n'ai pas trouvé ce que je recherchais, j'ai donc utiliser une répétition. Afin de gérer ce problème je relirais le code qui avait été utiliser pour faire un "Puissance 4", celui-ci comporte ce dont j'ai besoin</t>
  </si>
  <si>
    <t>Illustrer la vue d'ensemble</t>
  </si>
  <si>
    <t>Recherches en rapport avec les array_push afin d'ajouter une valeur dans un tableau et éviter la répétition et tenir a jour le journal de travail et de bord, mettre à jour le trello et les tâches accomplies</t>
  </si>
  <si>
    <t xml:space="preserve">Fournir la possiblité de paramétrer </t>
  </si>
  <si>
    <t>Renomer des variables, refaire les fonctions et mieux organiser l'éxecution du code</t>
  </si>
  <si>
    <t>Changer la manière d'afficher les partie afin de pouvoir garder dans un tableau toute les informations mais en affichant seulement au format voulu</t>
  </si>
  <si>
    <t>J'ai essayé pendant un long moment de différencier une partie vide et une partie pleine par du code à l'aide de foreach, mais il était plus simple de le faire par quette SQL et ça fonctionne correctement</t>
  </si>
  <si>
    <t>Tenir a jour le journal de travail</t>
  </si>
  <si>
    <t>Recherches sur le fonctionnement des requêtes SQL dans un MVC afin de pouvoir executer et récupérer plusieurs valeurs dans une seule fonction</t>
  </si>
  <si>
    <t>Au final j'ai fait à l'aide de plusieurs requêtes, pour éviter d'avoir a mettre de la logiqe dans le model</t>
  </si>
  <si>
    <t>Modification de la base de donnée</t>
  </si>
  <si>
    <t>Préparation pour la demo</t>
  </si>
  <si>
    <t>Demo et discussion avec le chef de projet sur la doc</t>
  </si>
  <si>
    <t>Création de données par script dans la base de donnée afin de mieux tester le jeu</t>
  </si>
  <si>
    <t>Gérer les messages d'erreur</t>
  </si>
  <si>
    <t>Mettre à jour le journal de travail et de bord</t>
  </si>
  <si>
    <t>Modifications de la doc selon les retours reçus</t>
  </si>
  <si>
    <t>Révision de la planification initiale</t>
  </si>
  <si>
    <t xml:space="preserve">Commencer à prendre les données nécessaires afin d'afficher une partie </t>
  </si>
  <si>
    <t>Préparer et rendre la documentation et le journal de travail au format PDF</t>
  </si>
  <si>
    <t>Relire la doc, le trello et les mails afin de s'assurer que tout à été fait correctement et qu'aucune tâche n'a été oubliée</t>
  </si>
  <si>
    <t>La démo du 18.05 n'était pas citée dans le journal de bord et certains éléments n'étaient pas à jour sur le trello</t>
  </si>
  <si>
    <t>Gérer le début de partie + quitter une partie</t>
  </si>
  <si>
    <t>Modification du code pour créer une place et supprimer une place à chaque fois qu'on rejoint ou quitte la partie</t>
  </si>
  <si>
    <t>Tester et modifier l'architecture du code afin de ne pas avoir de répétitions</t>
  </si>
  <si>
    <t>Des tableaux étaient recrées plusieurs fois inutilement</t>
  </si>
  <si>
    <t>Pour que les boutons soient cohérents il à fallu afficher une partie et regarder quel rôle le joueur avait</t>
  </si>
  <si>
    <t>Mettre a jour le journal de travail et de bord</t>
  </si>
  <si>
    <t>Préparation et envoi des livrables</t>
  </si>
  <si>
    <t>Rencontre avec M. Gruaz</t>
  </si>
  <si>
    <t>Tester afin de s'assurer que tout est encore fonctionnel et changer certaines valeurs dans la base de donnée afin qu'une partie se déroule correctement</t>
  </si>
  <si>
    <t>Fournir le MLD et une particularité</t>
  </si>
  <si>
    <t xml:space="preserve">Compléter le dossier de concéption </t>
  </si>
  <si>
    <t>Ecrire une brêve explication du jeu suite à la demande de M. Gruaz</t>
  </si>
  <si>
    <t>Rien n'est sécurisé pour le moment, on peut dépasser le nombre de poissons qu'il est normalement possible de pêcher ou relâcher</t>
  </si>
  <si>
    <t>Gérer les boutons pour jouer, les différentes règles selon les modes de jeu et automatiser la partie afin que l'utilisateur ne puisse pêcher plusieurs fois d'afiler et qu'il n'ait pas à cliquer sur "passer son tour" après avoir joué</t>
  </si>
  <si>
    <t>Commencer à rendre une partie jouable au tour par tour pour rendre utile les boutons</t>
  </si>
  <si>
    <t>J'avais mal compris le fonctionnement de classement et meilleur score. Afin que celui-ci corresponde au cahier des charges il est nécessaire d'avoir une table "historique"</t>
  </si>
  <si>
    <t>Automatisation d'une partie, empêcher les formulaires de se renvoyé et pour certaines variables, checker dans la base de données si l'action est possible ou non</t>
  </si>
  <si>
    <t>Tester quelques parties dans plusieurs cas de figure différents et prendre note des points a corriger</t>
  </si>
  <si>
    <t>Présentation de la démo au chef de projet</t>
  </si>
  <si>
    <t>Permettre aux joueurs de passer leurs tour correctement selon leur mode de jeu</t>
  </si>
  <si>
    <t>Gérer la consultation aux statistiques</t>
  </si>
  <si>
    <t>Commencer a créer le code pour gérer les rangs</t>
  </si>
  <si>
    <t>Finir de gérer les rangs</t>
  </si>
  <si>
    <t>Améliorer l'architecture du code pour éviter certaines répétitions</t>
  </si>
  <si>
    <t>Le switch devenait contraignant, j'ai préférer utiliser un if avec des elseif</t>
  </si>
  <si>
    <t>Décrire les risques techniques et révision de la planification initiale</t>
  </si>
  <si>
    <t>Décrire la stratégie de test</t>
  </si>
  <si>
    <t>Modifications selon les retours fait par M. Egger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</si>
</sst>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NumberFormat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6" fillId="0" borderId="0" xfId="0" applyFont="1" applyFill="1"/>
    <xf numFmtId="0" fontId="7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5" fillId="2" borderId="7" xfId="1" applyFill="1" applyBorder="1" applyAlignment="1" applyProtection="1">
      <alignment horizontal="center"/>
      <protection locked="0"/>
    </xf>
    <xf numFmtId="0" fontId="5" fillId="2" borderId="8" xfId="1" applyFill="1" applyBorder="1" applyAlignment="1" applyProtection="1">
      <alignment horizontal="center"/>
      <protection locked="0"/>
    </xf>
    <xf numFmtId="0" fontId="5" fillId="2" borderId="9" xfId="1" applyFill="1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242.383370370371" createdVersion="4" refreshedVersion="6" minRefreshableVersion="3" recordCount="35">
  <cacheSource type="worksheet">
    <worksheetSource ref="A1:D62" sheet="Journal"/>
  </cacheSource>
  <cacheFields count="4">
    <cacheField name="Jour" numFmtId="16">
      <sharedItems containsSemiMixedTypes="0" containsNonDate="0" containsDate="1" containsString="0" minDate="2018-01-01T00:00:00" maxDate="2018-05-23T00:00:00" count="24">
        <d v="2018-05-22T00:00:00"/>
        <d v="2018-05-18T00:00:00"/>
        <d v="2018-05-17T00:00:00"/>
        <d v="2018-05-16T00:00:00"/>
        <d v="2018-05-15T00:00:00"/>
        <d v="2018-05-09T00:00:00"/>
        <d v="2018-05-08T00:00:00"/>
        <d v="2018-02-09T00:00:00" u="1"/>
        <d v="2018-02-28T00:00:00" u="1"/>
        <d v="2018-02-02T00:00:00" u="1"/>
        <d v="2018-03-07T00:00:00" u="1"/>
        <d v="2018-02-14T00:00:00" u="1"/>
        <d v="2018-02-07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2-13T00:00:00" u="1"/>
        <d v="2018-01-01T00:00:00" u="1"/>
        <d v="2018-02-06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9" maxValue="21"/>
    </cacheField>
    <cacheField name="Temps [période]" numFmtId="0">
      <sharedItems containsSemiMixedTypes="0" containsString="0" containsNumber="1" minValue="0.5" maxValue="5" count="9">
        <n v="0.5"/>
        <n v="1.5"/>
        <n v="1"/>
        <n v="0.75"/>
        <n v="2.5"/>
        <n v="3.5"/>
        <n v="3"/>
        <n v="5"/>
        <n v="2"/>
      </sharedItems>
    </cacheField>
    <cacheField name="Type" numFmtId="0">
      <sharedItems count="4">
        <s v="Documentation"/>
        <s v="Implémentation"/>
        <s v="Analyse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">
  <r>
    <x v="0"/>
    <n v="21"/>
    <x v="0"/>
    <x v="0"/>
  </r>
  <r>
    <x v="1"/>
    <n v="20"/>
    <x v="0"/>
    <x v="0"/>
  </r>
  <r>
    <x v="1"/>
    <n v="20"/>
    <x v="0"/>
    <x v="0"/>
  </r>
  <r>
    <x v="1"/>
    <n v="20"/>
    <x v="1"/>
    <x v="0"/>
  </r>
  <r>
    <x v="1"/>
    <n v="20"/>
    <x v="2"/>
    <x v="1"/>
  </r>
  <r>
    <x v="1"/>
    <n v="20"/>
    <x v="0"/>
    <x v="0"/>
  </r>
  <r>
    <x v="1"/>
    <n v="20"/>
    <x v="1"/>
    <x v="1"/>
  </r>
  <r>
    <x v="1"/>
    <n v="20"/>
    <x v="0"/>
    <x v="1"/>
  </r>
  <r>
    <x v="1"/>
    <n v="20"/>
    <x v="0"/>
    <x v="1"/>
  </r>
  <r>
    <x v="1"/>
    <n v="20"/>
    <x v="0"/>
    <x v="1"/>
  </r>
  <r>
    <x v="2"/>
    <n v="20"/>
    <x v="0"/>
    <x v="1"/>
  </r>
  <r>
    <x v="2"/>
    <n v="20"/>
    <x v="0"/>
    <x v="1"/>
  </r>
  <r>
    <x v="2"/>
    <n v="20"/>
    <x v="0"/>
    <x v="0"/>
  </r>
  <r>
    <x v="2"/>
    <n v="20"/>
    <x v="3"/>
    <x v="1"/>
  </r>
  <r>
    <x v="2"/>
    <n v="20"/>
    <x v="4"/>
    <x v="1"/>
  </r>
  <r>
    <x v="2"/>
    <n v="20"/>
    <x v="5"/>
    <x v="1"/>
  </r>
  <r>
    <x v="2"/>
    <n v="20"/>
    <x v="3"/>
    <x v="0"/>
  </r>
  <r>
    <x v="3"/>
    <n v="20"/>
    <x v="0"/>
    <x v="1"/>
  </r>
  <r>
    <x v="3"/>
    <n v="20"/>
    <x v="2"/>
    <x v="0"/>
  </r>
  <r>
    <x v="3"/>
    <n v="20"/>
    <x v="6"/>
    <x v="1"/>
  </r>
  <r>
    <x v="3"/>
    <n v="20"/>
    <x v="1"/>
    <x v="1"/>
  </r>
  <r>
    <x v="4"/>
    <n v="20"/>
    <x v="4"/>
    <x v="1"/>
  </r>
  <r>
    <x v="4"/>
    <n v="20"/>
    <x v="0"/>
    <x v="0"/>
  </r>
  <r>
    <x v="4"/>
    <n v="20"/>
    <x v="7"/>
    <x v="2"/>
  </r>
  <r>
    <x v="5"/>
    <n v="19"/>
    <x v="0"/>
    <x v="1"/>
  </r>
  <r>
    <x v="5"/>
    <n v="19"/>
    <x v="0"/>
    <x v="1"/>
  </r>
  <r>
    <x v="5"/>
    <n v="19"/>
    <x v="2"/>
    <x v="2"/>
  </r>
  <r>
    <x v="5"/>
    <n v="19"/>
    <x v="1"/>
    <x v="2"/>
  </r>
  <r>
    <x v="5"/>
    <n v="19"/>
    <x v="4"/>
    <x v="0"/>
  </r>
  <r>
    <x v="6"/>
    <n v="19"/>
    <x v="0"/>
    <x v="1"/>
  </r>
  <r>
    <x v="6"/>
    <n v="19"/>
    <x v="2"/>
    <x v="1"/>
  </r>
  <r>
    <x v="6"/>
    <n v="19"/>
    <x v="8"/>
    <x v="1"/>
  </r>
  <r>
    <x v="6"/>
    <n v="19"/>
    <x v="2"/>
    <x v="2"/>
  </r>
  <r>
    <x v="5"/>
    <n v="19"/>
    <x v="4"/>
    <x v="2"/>
  </r>
  <r>
    <x v="6"/>
    <n v="19"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E11" firstHeaderRow="0" firstDataRow="1" firstDataCol="1"/>
  <pivotFields count="4">
    <pivotField axis="axisRow" numFmtId="16" showAll="0" defaultSubtotal="0">
      <items count="24">
        <item sd="0" m="1" x="20"/>
        <item sd="0" m="1" x="15"/>
        <item sd="0" m="1" x="12"/>
        <item sd="0" m="1" x="21"/>
        <item sd="0" m="1" x="9"/>
        <item sd="0" m="1" x="17"/>
        <item sd="0" m="1" x="23"/>
        <item sd="0" m="1" x="14"/>
        <item sd="0" m="1" x="11"/>
        <item sd="0" m="1" x="19"/>
        <item sd="0" m="1" x="7"/>
        <item sd="0" m="1" x="16"/>
        <item sd="0" m="1" x="8"/>
        <item sd="0" m="1" x="22"/>
        <item sd="0" m="1" x="13"/>
        <item sd="0" m="1" x="10"/>
        <item sd="0" m="1" x="18"/>
        <item sd="0" x="4"/>
        <item sd="0" x="5"/>
        <item sd="0" x="6"/>
        <item sd="0" x="2"/>
        <item sd="0" x="3"/>
        <item sd="0" x="0"/>
        <item sd="0" x="1"/>
      </items>
    </pivotField>
    <pivotField showAll="0"/>
    <pivotField axis="axisRow" showAll="0" defaultSubtotal="0">
      <items count="9">
        <item x="0"/>
        <item x="3"/>
        <item x="2"/>
        <item x="1"/>
        <item x="8"/>
        <item x="4"/>
        <item x="6"/>
        <item x="5"/>
        <item x="7"/>
      </items>
    </pivotField>
    <pivotField axis="axisCol" showAll="0">
      <items count="5">
        <item x="0"/>
        <item x="1"/>
        <item x="2"/>
        <item m="1" x="3"/>
        <item t="default"/>
      </items>
    </pivotField>
  </pivotFields>
  <rowFields count="2">
    <field x="0"/>
    <field x="2"/>
  </rowFields>
  <rowItems count="8"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fanchcreation.eu/heures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71"/>
  <sheetViews>
    <sheetView tabSelected="1" workbookViewId="0">
      <selection activeCell="F2" sqref="F2:F3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45.5703125" style="11" customWidth="1"/>
    <col min="6" max="6" width="48.7109375" style="11" customWidth="1"/>
    <col min="7" max="10" width="9.140625" style="8"/>
    <col min="11" max="11" width="19.85546875" style="8" customWidth="1"/>
    <col min="12" max="16384" width="9.140625" style="8"/>
  </cols>
  <sheetData>
    <row r="1" spans="1:6" ht="24" customHeight="1" x14ac:dyDescent="0.25">
      <c r="A1" s="4" t="s">
        <v>2</v>
      </c>
      <c r="B1" s="12" t="s">
        <v>11</v>
      </c>
      <c r="C1" s="6" t="s">
        <v>25</v>
      </c>
      <c r="D1" s="4" t="s">
        <v>3</v>
      </c>
      <c r="E1" s="7" t="s">
        <v>0</v>
      </c>
      <c r="F1" s="7" t="s">
        <v>1</v>
      </c>
    </row>
    <row r="2" spans="1:6" x14ac:dyDescent="0.25">
      <c r="A2" s="16">
        <v>43245</v>
      </c>
      <c r="B2" s="17">
        <f t="shared" ref="B2" si="0">WEEKNUM(A2)</f>
        <v>21</v>
      </c>
      <c r="C2" s="18">
        <v>0.5</v>
      </c>
      <c r="D2" s="19" t="s">
        <v>8</v>
      </c>
      <c r="E2" s="14" t="s">
        <v>92</v>
      </c>
      <c r="F2" s="9"/>
    </row>
    <row r="3" spans="1:6" x14ac:dyDescent="0.25">
      <c r="A3" s="16">
        <v>43245</v>
      </c>
      <c r="B3" s="17">
        <f t="shared" ref="B3" si="1">WEEKNUM(A3)</f>
        <v>21</v>
      </c>
      <c r="C3" s="18">
        <v>1</v>
      </c>
      <c r="D3" s="19" t="s">
        <v>8</v>
      </c>
      <c r="E3" s="14" t="s">
        <v>91</v>
      </c>
      <c r="F3" s="9"/>
    </row>
    <row r="4" spans="1:6" ht="30" x14ac:dyDescent="0.25">
      <c r="A4" s="16">
        <v>43245</v>
      </c>
      <c r="B4" s="17">
        <f t="shared" ref="B4" si="2">WEEKNUM(A4)</f>
        <v>21</v>
      </c>
      <c r="C4" s="18">
        <v>0.5</v>
      </c>
      <c r="D4" s="19" t="s">
        <v>8</v>
      </c>
      <c r="E4" s="14" t="s">
        <v>90</v>
      </c>
      <c r="F4" s="9"/>
    </row>
    <row r="5" spans="1:6" ht="30" x14ac:dyDescent="0.25">
      <c r="A5" s="16">
        <v>43245</v>
      </c>
      <c r="B5" s="17">
        <f t="shared" ref="B5" si="3">WEEKNUM(A5)</f>
        <v>21</v>
      </c>
      <c r="C5" s="18">
        <v>1</v>
      </c>
      <c r="D5" s="19" t="s">
        <v>6</v>
      </c>
      <c r="E5" s="14" t="s">
        <v>88</v>
      </c>
      <c r="F5" s="9" t="s">
        <v>89</v>
      </c>
    </row>
    <row r="6" spans="1:6" x14ac:dyDescent="0.25">
      <c r="A6" s="16">
        <v>43245</v>
      </c>
      <c r="B6" s="17">
        <f t="shared" ref="B6" si="4">WEEKNUM(A6)</f>
        <v>21</v>
      </c>
      <c r="C6" s="18">
        <v>0.5</v>
      </c>
      <c r="D6" s="19" t="s">
        <v>6</v>
      </c>
      <c r="E6" s="14" t="s">
        <v>87</v>
      </c>
      <c r="F6" s="9"/>
    </row>
    <row r="7" spans="1:6" x14ac:dyDescent="0.25">
      <c r="A7" s="16">
        <v>43245</v>
      </c>
      <c r="B7" s="17">
        <f t="shared" ref="B7" si="5">WEEKNUM(A7)</f>
        <v>21</v>
      </c>
      <c r="C7" s="18">
        <v>0.25</v>
      </c>
      <c r="D7" s="19" t="s">
        <v>8</v>
      </c>
      <c r="E7" s="14" t="s">
        <v>83</v>
      </c>
      <c r="F7" s="9"/>
    </row>
    <row r="8" spans="1:6" ht="45" x14ac:dyDescent="0.25">
      <c r="A8" s="16">
        <v>43245</v>
      </c>
      <c r="B8" s="17">
        <f t="shared" ref="B8" si="6">WEEKNUM(A8)</f>
        <v>21</v>
      </c>
      <c r="C8" s="18">
        <v>0.5</v>
      </c>
      <c r="D8" s="19" t="s">
        <v>8</v>
      </c>
      <c r="E8" s="14" t="s">
        <v>82</v>
      </c>
      <c r="F8" s="9"/>
    </row>
    <row r="9" spans="1:6" ht="60" x14ac:dyDescent="0.25">
      <c r="A9" s="16">
        <v>43245</v>
      </c>
      <c r="B9" s="17">
        <f t="shared" ref="B9" si="7">WEEKNUM(A9)</f>
        <v>21</v>
      </c>
      <c r="C9" s="18">
        <v>1.75</v>
      </c>
      <c r="D9" s="19" t="s">
        <v>6</v>
      </c>
      <c r="E9" s="14" t="s">
        <v>81</v>
      </c>
      <c r="F9" s="9"/>
    </row>
    <row r="10" spans="1:6" x14ac:dyDescent="0.25">
      <c r="A10" s="16">
        <v>43245</v>
      </c>
      <c r="B10" s="17">
        <f t="shared" ref="B10" si="8">WEEKNUM(A10)</f>
        <v>21</v>
      </c>
      <c r="C10" s="18">
        <v>0.5</v>
      </c>
      <c r="D10" s="19" t="s">
        <v>8</v>
      </c>
      <c r="E10" s="14" t="s">
        <v>71</v>
      </c>
      <c r="F10" s="9"/>
    </row>
    <row r="11" spans="1:6" x14ac:dyDescent="0.25">
      <c r="A11" s="16">
        <v>43245</v>
      </c>
      <c r="B11" s="17">
        <f t="shared" ref="B11" si="9">WEEKNUM(A11)</f>
        <v>21</v>
      </c>
      <c r="C11" s="18">
        <v>0.5</v>
      </c>
      <c r="D11" s="19" t="s">
        <v>8</v>
      </c>
      <c r="E11" s="14" t="s">
        <v>70</v>
      </c>
      <c r="F11" s="9"/>
    </row>
    <row r="12" spans="1:6" x14ac:dyDescent="0.25">
      <c r="A12" s="16">
        <v>43244</v>
      </c>
      <c r="B12" s="17">
        <f t="shared" ref="B12" si="10">WEEKNUM(A12)</f>
        <v>21</v>
      </c>
      <c r="C12" s="18">
        <v>1</v>
      </c>
      <c r="D12" s="19" t="s">
        <v>6</v>
      </c>
      <c r="E12" s="14" t="s">
        <v>86</v>
      </c>
      <c r="F12" s="9"/>
    </row>
    <row r="13" spans="1:6" x14ac:dyDescent="0.25">
      <c r="A13" s="16">
        <v>43244</v>
      </c>
      <c r="B13" s="17">
        <f t="shared" ref="B13" si="11">WEEKNUM(A13)</f>
        <v>21</v>
      </c>
      <c r="C13" s="18">
        <v>2.5</v>
      </c>
      <c r="D13" s="19" t="s">
        <v>6</v>
      </c>
      <c r="E13" s="14" t="s">
        <v>85</v>
      </c>
      <c r="F13" s="9"/>
    </row>
    <row r="14" spans="1:6" ht="30" x14ac:dyDescent="0.25">
      <c r="A14" s="16">
        <v>43244</v>
      </c>
      <c r="B14" s="17">
        <f t="shared" ref="B14" si="12">WEEKNUM(A14)</f>
        <v>21</v>
      </c>
      <c r="C14" s="18">
        <v>2.5</v>
      </c>
      <c r="D14" s="19" t="s">
        <v>6</v>
      </c>
      <c r="E14" s="14" t="s">
        <v>84</v>
      </c>
      <c r="F14" s="9"/>
    </row>
    <row r="15" spans="1:6" ht="60" x14ac:dyDescent="0.25">
      <c r="A15" s="16">
        <v>43244</v>
      </c>
      <c r="B15" s="17">
        <f t="shared" ref="B15" si="13">WEEKNUM(A15)</f>
        <v>21</v>
      </c>
      <c r="C15" s="18">
        <v>0.5</v>
      </c>
      <c r="D15" s="19" t="s">
        <v>6</v>
      </c>
      <c r="E15" s="14" t="s">
        <v>53</v>
      </c>
      <c r="F15" s="9" t="s">
        <v>80</v>
      </c>
    </row>
    <row r="16" spans="1:6" ht="75" x14ac:dyDescent="0.25">
      <c r="A16" s="16">
        <v>43244</v>
      </c>
      <c r="B16" s="17">
        <f t="shared" ref="B16" si="14">WEEKNUM(A16)</f>
        <v>21</v>
      </c>
      <c r="C16" s="18">
        <v>2.5</v>
      </c>
      <c r="D16" s="19" t="s">
        <v>6</v>
      </c>
      <c r="E16" s="14" t="s">
        <v>78</v>
      </c>
      <c r="F16" s="9" t="s">
        <v>77</v>
      </c>
    </row>
    <row r="17" spans="1:6" ht="30" x14ac:dyDescent="0.25">
      <c r="A17" s="16">
        <v>43243</v>
      </c>
      <c r="B17" s="17">
        <f t="shared" ref="B17" si="15">WEEKNUM(A17)</f>
        <v>21</v>
      </c>
      <c r="C17" s="18">
        <v>0.5</v>
      </c>
      <c r="D17" s="19" t="s">
        <v>8</v>
      </c>
      <c r="E17" s="14" t="s">
        <v>76</v>
      </c>
      <c r="F17" s="9"/>
    </row>
    <row r="18" spans="1:6" x14ac:dyDescent="0.25">
      <c r="A18" s="16">
        <v>43243</v>
      </c>
      <c r="B18" s="17">
        <f t="shared" ref="B18" si="16">WEEKNUM(A18)</f>
        <v>21</v>
      </c>
      <c r="C18" s="18">
        <v>0.5</v>
      </c>
      <c r="D18" s="19" t="s">
        <v>8</v>
      </c>
      <c r="E18" s="14" t="s">
        <v>75</v>
      </c>
      <c r="F18" s="9"/>
    </row>
    <row r="19" spans="1:6" x14ac:dyDescent="0.25">
      <c r="A19" s="16">
        <v>43243</v>
      </c>
      <c r="B19" s="17">
        <f t="shared" ref="B19" si="17">WEEKNUM(A19)</f>
        <v>21</v>
      </c>
      <c r="C19" s="18">
        <v>0.67</v>
      </c>
      <c r="D19" s="19" t="s">
        <v>8</v>
      </c>
      <c r="E19" s="14" t="s">
        <v>74</v>
      </c>
      <c r="F19" s="9"/>
    </row>
    <row r="20" spans="1:6" ht="30" x14ac:dyDescent="0.25">
      <c r="A20" s="16">
        <v>43243</v>
      </c>
      <c r="B20" s="17">
        <f t="shared" ref="B20" si="18">WEEKNUM(A20)</f>
        <v>21</v>
      </c>
      <c r="C20" s="18">
        <v>2.5</v>
      </c>
      <c r="D20" s="19" t="s">
        <v>6</v>
      </c>
      <c r="E20" s="14" t="s">
        <v>79</v>
      </c>
      <c r="F20" s="9"/>
    </row>
    <row r="21" spans="1:6" ht="60" x14ac:dyDescent="0.25">
      <c r="A21" s="16">
        <v>43243</v>
      </c>
      <c r="B21" s="17">
        <f t="shared" ref="B21" si="19">WEEKNUM(A21)</f>
        <v>21</v>
      </c>
      <c r="C21" s="18">
        <v>0.5</v>
      </c>
      <c r="D21" s="19" t="s">
        <v>7</v>
      </c>
      <c r="E21" s="14" t="s">
        <v>73</v>
      </c>
      <c r="F21" s="9"/>
    </row>
    <row r="22" spans="1:6" x14ac:dyDescent="0.25">
      <c r="A22" s="16">
        <v>43243</v>
      </c>
      <c r="B22" s="17">
        <f t="shared" ref="B22" si="20">WEEKNUM(A22)</f>
        <v>21</v>
      </c>
      <c r="C22" s="18">
        <v>0.33</v>
      </c>
      <c r="D22" s="19" t="s">
        <v>5</v>
      </c>
      <c r="E22" s="14" t="s">
        <v>72</v>
      </c>
      <c r="F22" s="9"/>
    </row>
    <row r="23" spans="1:6" x14ac:dyDescent="0.25">
      <c r="A23" s="16">
        <v>43243</v>
      </c>
      <c r="B23" s="17">
        <f t="shared" ref="B23" si="21">WEEKNUM(A23)</f>
        <v>21</v>
      </c>
      <c r="C23" s="18">
        <v>0.5</v>
      </c>
      <c r="D23" s="19" t="s">
        <v>8</v>
      </c>
      <c r="E23" s="14" t="s">
        <v>71</v>
      </c>
      <c r="F23" s="9"/>
    </row>
    <row r="24" spans="1:6" x14ac:dyDescent="0.25">
      <c r="A24" s="16">
        <v>43243</v>
      </c>
      <c r="B24" s="17">
        <f t="shared" ref="B24" si="22">WEEKNUM(A24)</f>
        <v>21</v>
      </c>
      <c r="C24" s="18">
        <v>0.5</v>
      </c>
      <c r="D24" s="19" t="s">
        <v>8</v>
      </c>
      <c r="E24" s="14" t="s">
        <v>70</v>
      </c>
      <c r="F24" s="9"/>
    </row>
    <row r="25" spans="1:6" ht="30" x14ac:dyDescent="0.25">
      <c r="A25" s="16">
        <v>43242</v>
      </c>
      <c r="B25" s="17">
        <f t="shared" ref="B25" si="23">WEEKNUM(A25)</f>
        <v>21</v>
      </c>
      <c r="C25" s="18">
        <v>1.5</v>
      </c>
      <c r="D25" s="19" t="s">
        <v>6</v>
      </c>
      <c r="E25" s="14" t="s">
        <v>67</v>
      </c>
      <c r="F25" s="9" t="s">
        <v>68</v>
      </c>
    </row>
    <row r="26" spans="1:6" ht="45" x14ac:dyDescent="0.25">
      <c r="A26" s="16">
        <v>43242</v>
      </c>
      <c r="B26" s="17">
        <f t="shared" ref="B26" si="24">WEEKNUM(A26)</f>
        <v>21</v>
      </c>
      <c r="C26" s="18">
        <v>2.5</v>
      </c>
      <c r="D26" s="19" t="s">
        <v>6</v>
      </c>
      <c r="E26" s="14" t="s">
        <v>65</v>
      </c>
      <c r="F26" s="9" t="s">
        <v>66</v>
      </c>
    </row>
    <row r="27" spans="1:6" ht="45" x14ac:dyDescent="0.25">
      <c r="A27" s="16">
        <v>43242</v>
      </c>
      <c r="B27" s="17">
        <f t="shared" ref="B27" si="25">WEEKNUM(A27)</f>
        <v>21</v>
      </c>
      <c r="C27" s="18">
        <v>3.5</v>
      </c>
      <c r="D27" s="19" t="s">
        <v>6</v>
      </c>
      <c r="E27" s="14" t="s">
        <v>69</v>
      </c>
      <c r="F27" s="9"/>
    </row>
    <row r="28" spans="1:6" ht="45" x14ac:dyDescent="0.25">
      <c r="A28" s="16">
        <v>43242</v>
      </c>
      <c r="B28" s="17">
        <f t="shared" ref="B28" si="26">WEEKNUM(A28)</f>
        <v>21</v>
      </c>
      <c r="C28" s="18">
        <v>0.5</v>
      </c>
      <c r="D28" s="19" t="s">
        <v>8</v>
      </c>
      <c r="E28" s="14" t="s">
        <v>63</v>
      </c>
      <c r="F28" s="9" t="s">
        <v>64</v>
      </c>
    </row>
    <row r="29" spans="1:6" ht="30" x14ac:dyDescent="0.25">
      <c r="A29" s="16">
        <v>43238</v>
      </c>
      <c r="B29" s="17">
        <f t="shared" ref="B29" si="27">WEEKNUM(A29)</f>
        <v>20</v>
      </c>
      <c r="C29" s="18">
        <v>0.5</v>
      </c>
      <c r="D29" s="19" t="s">
        <v>8</v>
      </c>
      <c r="E29" s="14" t="s">
        <v>62</v>
      </c>
      <c r="F29" s="9"/>
    </row>
    <row r="30" spans="1:6" x14ac:dyDescent="0.25">
      <c r="A30" s="16">
        <v>43238</v>
      </c>
      <c r="B30" s="17">
        <f t="shared" ref="B30" si="28">WEEKNUM(A30)</f>
        <v>20</v>
      </c>
      <c r="C30" s="18">
        <v>0.5</v>
      </c>
      <c r="D30" s="19" t="s">
        <v>8</v>
      </c>
      <c r="E30" s="14" t="s">
        <v>60</v>
      </c>
      <c r="F30" s="9"/>
    </row>
    <row r="31" spans="1:6" x14ac:dyDescent="0.25">
      <c r="A31" s="16">
        <v>43238</v>
      </c>
      <c r="B31" s="17">
        <f t="shared" ref="B31" si="29">WEEKNUM(A31)</f>
        <v>20</v>
      </c>
      <c r="C31" s="18">
        <v>1.5</v>
      </c>
      <c r="D31" s="19" t="s">
        <v>8</v>
      </c>
      <c r="E31" s="14" t="s">
        <v>59</v>
      </c>
      <c r="F31" s="9"/>
    </row>
    <row r="32" spans="1:6" ht="30" x14ac:dyDescent="0.25">
      <c r="A32" s="16">
        <v>43238</v>
      </c>
      <c r="B32" s="17">
        <f t="shared" ref="B32" si="30">WEEKNUM(A32)</f>
        <v>20</v>
      </c>
      <c r="C32" s="18">
        <v>1</v>
      </c>
      <c r="D32" s="19" t="s">
        <v>6</v>
      </c>
      <c r="E32" s="14" t="s">
        <v>61</v>
      </c>
      <c r="F32" s="9"/>
    </row>
    <row r="33" spans="1:11" x14ac:dyDescent="0.25">
      <c r="A33" s="16">
        <v>43238</v>
      </c>
      <c r="B33" s="17">
        <f t="shared" ref="B33" si="31">WEEKNUM(A33)</f>
        <v>20</v>
      </c>
      <c r="C33" s="18">
        <v>0.5</v>
      </c>
      <c r="D33" s="19" t="s">
        <v>8</v>
      </c>
      <c r="E33" s="14" t="s">
        <v>58</v>
      </c>
      <c r="F33" s="9"/>
    </row>
    <row r="34" spans="1:11" x14ac:dyDescent="0.25">
      <c r="A34" s="16">
        <v>43238</v>
      </c>
      <c r="B34" s="17">
        <f t="shared" ref="B34" si="32">WEEKNUM(A34)</f>
        <v>20</v>
      </c>
      <c r="C34" s="18">
        <v>1.5</v>
      </c>
      <c r="D34" s="19" t="s">
        <v>6</v>
      </c>
      <c r="E34" s="14" t="s">
        <v>57</v>
      </c>
      <c r="F34" s="9"/>
    </row>
    <row r="35" spans="1:11" ht="30" x14ac:dyDescent="0.25">
      <c r="A35" s="16">
        <v>43238</v>
      </c>
      <c r="B35" s="17">
        <f t="shared" ref="B35" si="33">WEEKNUM(A35)</f>
        <v>20</v>
      </c>
      <c r="C35" s="18">
        <v>0.5</v>
      </c>
      <c r="D35" s="19" t="s">
        <v>6</v>
      </c>
      <c r="E35" s="14" t="s">
        <v>56</v>
      </c>
      <c r="F35" s="9"/>
    </row>
    <row r="36" spans="1:11" ht="30" x14ac:dyDescent="0.25">
      <c r="A36" s="16">
        <v>43238</v>
      </c>
      <c r="B36" s="17">
        <f t="shared" ref="B36" si="34">WEEKNUM(A36)</f>
        <v>20</v>
      </c>
      <c r="C36" s="18">
        <v>0.5</v>
      </c>
      <c r="D36" s="19" t="s">
        <v>6</v>
      </c>
      <c r="E36" s="14" t="s">
        <v>55</v>
      </c>
      <c r="F36" s="9"/>
    </row>
    <row r="37" spans="1:11" x14ac:dyDescent="0.25">
      <c r="A37" s="16">
        <v>43238</v>
      </c>
      <c r="B37" s="17">
        <f t="shared" ref="B37" si="35">WEEKNUM(A37)</f>
        <v>20</v>
      </c>
      <c r="C37" s="18">
        <v>0.5</v>
      </c>
      <c r="D37" s="19" t="s">
        <v>6</v>
      </c>
      <c r="E37" s="14" t="s">
        <v>54</v>
      </c>
      <c r="F37" s="9"/>
    </row>
    <row r="38" spans="1:11" x14ac:dyDescent="0.25">
      <c r="A38" s="16">
        <v>43237</v>
      </c>
      <c r="B38" s="17">
        <f t="shared" ref="B38" si="36">WEEKNUM(A38)</f>
        <v>20</v>
      </c>
      <c r="C38" s="18">
        <v>0.5</v>
      </c>
      <c r="D38" s="19" t="s">
        <v>6</v>
      </c>
      <c r="E38" s="14" t="s">
        <v>53</v>
      </c>
      <c r="F38" s="9"/>
    </row>
    <row r="39" spans="1:11" ht="60" x14ac:dyDescent="0.25">
      <c r="A39" s="16">
        <v>43237</v>
      </c>
      <c r="B39" s="17">
        <f t="shared" ref="B39" si="37">WEEKNUM(A39)</f>
        <v>20</v>
      </c>
      <c r="C39" s="18">
        <v>0.5</v>
      </c>
      <c r="D39" s="19" t="s">
        <v>6</v>
      </c>
      <c r="E39" s="14" t="s">
        <v>51</v>
      </c>
      <c r="F39" s="9" t="s">
        <v>52</v>
      </c>
      <c r="K39" s="21"/>
    </row>
    <row r="40" spans="1:11" x14ac:dyDescent="0.25">
      <c r="A40" s="16">
        <v>43237</v>
      </c>
      <c r="B40" s="17">
        <f t="shared" ref="B40" si="38">WEEKNUM(A40)</f>
        <v>20</v>
      </c>
      <c r="C40" s="18">
        <v>0.5</v>
      </c>
      <c r="D40" s="19" t="s">
        <v>8</v>
      </c>
      <c r="E40" s="14" t="s">
        <v>50</v>
      </c>
      <c r="F40" s="9"/>
    </row>
    <row r="41" spans="1:11" ht="30" x14ac:dyDescent="0.25">
      <c r="A41" s="16">
        <v>43237</v>
      </c>
      <c r="B41" s="17">
        <f t="shared" ref="B41" si="39">WEEKNUM(A41)</f>
        <v>20</v>
      </c>
      <c r="C41" s="18">
        <v>0.75</v>
      </c>
      <c r="D41" s="19" t="s">
        <v>6</v>
      </c>
      <c r="E41" s="14" t="s">
        <v>47</v>
      </c>
      <c r="F41" s="9"/>
    </row>
    <row r="42" spans="1:11" ht="60" x14ac:dyDescent="0.25">
      <c r="A42" s="16">
        <v>43237</v>
      </c>
      <c r="B42" s="17">
        <f t="shared" ref="B42" si="40">WEEKNUM(A42)</f>
        <v>20</v>
      </c>
      <c r="C42" s="18">
        <v>2.5</v>
      </c>
      <c r="D42" s="19" t="s">
        <v>6</v>
      </c>
      <c r="E42" s="14" t="s">
        <v>48</v>
      </c>
      <c r="F42" s="9" t="s">
        <v>49</v>
      </c>
    </row>
    <row r="43" spans="1:11" x14ac:dyDescent="0.25">
      <c r="A43" s="16">
        <v>43237</v>
      </c>
      <c r="B43" s="17">
        <f t="shared" ref="B43" si="41">WEEKNUM(A43)</f>
        <v>20</v>
      </c>
      <c r="C43" s="18">
        <v>3.5</v>
      </c>
      <c r="D43" s="19" t="s">
        <v>6</v>
      </c>
      <c r="E43" s="14" t="s">
        <v>46</v>
      </c>
      <c r="F43" s="9"/>
    </row>
    <row r="44" spans="1:11" x14ac:dyDescent="0.25">
      <c r="A44" s="16">
        <v>43237</v>
      </c>
      <c r="B44" s="17">
        <f t="shared" ref="B44" si="42">WEEKNUM(A44)</f>
        <v>20</v>
      </c>
      <c r="C44" s="18">
        <v>0.75</v>
      </c>
      <c r="D44" s="19" t="s">
        <v>8</v>
      </c>
      <c r="E44" s="14" t="s">
        <v>44</v>
      </c>
      <c r="F44" s="9"/>
    </row>
    <row r="45" spans="1:11" ht="75" x14ac:dyDescent="0.25">
      <c r="A45" s="16">
        <v>43236</v>
      </c>
      <c r="B45" s="17">
        <f t="shared" ref="B45" si="43">WEEKNUM(A45)</f>
        <v>20</v>
      </c>
      <c r="C45" s="18">
        <v>0.5</v>
      </c>
      <c r="D45" s="19" t="s">
        <v>6</v>
      </c>
      <c r="E45" s="14" t="s">
        <v>45</v>
      </c>
      <c r="F45" s="9" t="s">
        <v>43</v>
      </c>
    </row>
    <row r="46" spans="1:11" ht="30" x14ac:dyDescent="0.25">
      <c r="A46" s="16">
        <v>43236</v>
      </c>
      <c r="B46" s="17">
        <f t="shared" ref="B46" si="44">WEEKNUM(A46)</f>
        <v>20</v>
      </c>
      <c r="C46" s="18">
        <v>1</v>
      </c>
      <c r="D46" s="19" t="s">
        <v>8</v>
      </c>
      <c r="E46" s="14" t="s">
        <v>42</v>
      </c>
      <c r="F46" s="9"/>
    </row>
    <row r="47" spans="1:11" ht="60" x14ac:dyDescent="0.25">
      <c r="A47" s="16">
        <v>43236</v>
      </c>
      <c r="B47" s="17">
        <f t="shared" ref="B47" si="45">WEEKNUM(A47)</f>
        <v>20</v>
      </c>
      <c r="C47" s="18">
        <v>3</v>
      </c>
      <c r="D47" s="19" t="s">
        <v>6</v>
      </c>
      <c r="E47" s="14" t="s">
        <v>40</v>
      </c>
      <c r="F47" s="9" t="s">
        <v>41</v>
      </c>
    </row>
    <row r="48" spans="1:11" ht="30" x14ac:dyDescent="0.25">
      <c r="A48" s="16">
        <v>43236</v>
      </c>
      <c r="B48" s="17">
        <f t="shared" ref="B48" si="46">WEEKNUM(A48)</f>
        <v>20</v>
      </c>
      <c r="C48" s="18">
        <v>1.5</v>
      </c>
      <c r="D48" s="19" t="s">
        <v>6</v>
      </c>
      <c r="E48" s="14" t="s">
        <v>38</v>
      </c>
      <c r="F48" s="9" t="s">
        <v>39</v>
      </c>
    </row>
    <row r="49" spans="1:11" ht="60" x14ac:dyDescent="0.25">
      <c r="A49" s="16">
        <v>43235</v>
      </c>
      <c r="B49" s="17">
        <f t="shared" ref="B49" si="47">WEEKNUM(A49)</f>
        <v>20</v>
      </c>
      <c r="C49" s="18">
        <v>2.5</v>
      </c>
      <c r="D49" s="19" t="s">
        <v>6</v>
      </c>
      <c r="E49" s="14" t="s">
        <v>36</v>
      </c>
      <c r="F49" s="9" t="s">
        <v>37</v>
      </c>
    </row>
    <row r="50" spans="1:11" ht="30" x14ac:dyDescent="0.25">
      <c r="A50" s="16">
        <v>43235</v>
      </c>
      <c r="B50" s="17">
        <f t="shared" ref="B50" si="48">WEEKNUM(A50)</f>
        <v>20</v>
      </c>
      <c r="C50" s="18">
        <v>0.5</v>
      </c>
      <c r="D50" s="19" t="s">
        <v>8</v>
      </c>
      <c r="E50" s="14" t="s">
        <v>35</v>
      </c>
      <c r="F50" s="9"/>
    </row>
    <row r="51" spans="1:11" ht="30" x14ac:dyDescent="0.25">
      <c r="A51" s="16">
        <v>43235</v>
      </c>
      <c r="B51" s="17">
        <f t="shared" ref="B51" si="49">WEEKNUM(A51)</f>
        <v>20</v>
      </c>
      <c r="C51" s="18">
        <v>5</v>
      </c>
      <c r="D51" s="19" t="s">
        <v>5</v>
      </c>
      <c r="E51" s="14" t="s">
        <v>34</v>
      </c>
      <c r="F51" s="9"/>
    </row>
    <row r="52" spans="1:11" ht="30" x14ac:dyDescent="0.25">
      <c r="A52" s="16">
        <v>43229</v>
      </c>
      <c r="B52" s="17">
        <f t="shared" ref="B52:B62" si="50">WEEKNUM(A52)</f>
        <v>19</v>
      </c>
      <c r="C52" s="18">
        <v>0.5</v>
      </c>
      <c r="D52" s="19" t="s">
        <v>6</v>
      </c>
      <c r="E52" s="14" t="s">
        <v>31</v>
      </c>
      <c r="F52" s="9"/>
    </row>
    <row r="53" spans="1:11" x14ac:dyDescent="0.25">
      <c r="A53" s="16">
        <v>43229</v>
      </c>
      <c r="B53" s="17">
        <f t="shared" si="50"/>
        <v>19</v>
      </c>
      <c r="C53" s="18">
        <v>0.5</v>
      </c>
      <c r="D53" s="19" t="s">
        <v>6</v>
      </c>
      <c r="E53" s="14" t="s">
        <v>30</v>
      </c>
      <c r="F53" s="9"/>
    </row>
    <row r="54" spans="1:11" ht="30" x14ac:dyDescent="0.25">
      <c r="A54" s="16">
        <v>43229</v>
      </c>
      <c r="B54" s="17">
        <f t="shared" si="50"/>
        <v>19</v>
      </c>
      <c r="C54" s="18">
        <v>1</v>
      </c>
      <c r="D54" s="19" t="s">
        <v>5</v>
      </c>
      <c r="E54" s="14" t="s">
        <v>33</v>
      </c>
      <c r="F54" s="9"/>
    </row>
    <row r="55" spans="1:11" ht="60" x14ac:dyDescent="0.25">
      <c r="A55" s="16">
        <v>43229</v>
      </c>
      <c r="B55" s="17">
        <f t="shared" si="50"/>
        <v>19</v>
      </c>
      <c r="C55" s="18">
        <v>1.5</v>
      </c>
      <c r="D55" s="19" t="s">
        <v>5</v>
      </c>
      <c r="E55" s="14" t="s">
        <v>28</v>
      </c>
      <c r="F55" s="9" t="s">
        <v>29</v>
      </c>
    </row>
    <row r="56" spans="1:11" ht="30" x14ac:dyDescent="0.25">
      <c r="A56" s="16">
        <v>43229</v>
      </c>
      <c r="B56" s="17">
        <f t="shared" si="50"/>
        <v>19</v>
      </c>
      <c r="C56" s="18">
        <v>2.5</v>
      </c>
      <c r="D56" s="19" t="s">
        <v>8</v>
      </c>
      <c r="E56" s="14" t="s">
        <v>32</v>
      </c>
      <c r="F56" s="9"/>
    </row>
    <row r="57" spans="1:11" ht="45" x14ac:dyDescent="0.25">
      <c r="A57" s="16">
        <v>43228</v>
      </c>
      <c r="B57" s="17">
        <f t="shared" si="50"/>
        <v>19</v>
      </c>
      <c r="C57" s="18">
        <v>0.5</v>
      </c>
      <c r="D57" s="19" t="s">
        <v>6</v>
      </c>
      <c r="E57" s="14" t="s">
        <v>27</v>
      </c>
      <c r="F57" s="9"/>
    </row>
    <row r="58" spans="1:11" ht="30" x14ac:dyDescent="0.25">
      <c r="A58" s="16">
        <v>43228</v>
      </c>
      <c r="B58" s="17">
        <f t="shared" si="50"/>
        <v>19</v>
      </c>
      <c r="C58" s="18">
        <v>1</v>
      </c>
      <c r="D58" s="19" t="s">
        <v>6</v>
      </c>
      <c r="E58" s="14" t="s">
        <v>24</v>
      </c>
      <c r="F58" s="9"/>
    </row>
    <row r="59" spans="1:11" ht="30" x14ac:dyDescent="0.25">
      <c r="A59" s="16">
        <v>43228</v>
      </c>
      <c r="B59" s="17">
        <f t="shared" si="50"/>
        <v>19</v>
      </c>
      <c r="C59" s="18">
        <v>2</v>
      </c>
      <c r="D59" s="19" t="s">
        <v>6</v>
      </c>
      <c r="E59" s="14" t="s">
        <v>23</v>
      </c>
      <c r="F59" s="9"/>
    </row>
    <row r="60" spans="1:11" ht="30" x14ac:dyDescent="0.25">
      <c r="A60" s="16">
        <v>43228</v>
      </c>
      <c r="B60" s="17">
        <f t="shared" si="50"/>
        <v>19</v>
      </c>
      <c r="C60" s="18">
        <v>1</v>
      </c>
      <c r="D60" s="19" t="s">
        <v>5</v>
      </c>
      <c r="E60" s="14" t="s">
        <v>22</v>
      </c>
      <c r="F60" s="9"/>
    </row>
    <row r="61" spans="1:11" ht="30" x14ac:dyDescent="0.25">
      <c r="A61" s="16">
        <v>43229</v>
      </c>
      <c r="B61" s="17">
        <f t="shared" si="50"/>
        <v>19</v>
      </c>
      <c r="C61" s="18">
        <v>2.5</v>
      </c>
      <c r="D61" s="19" t="s">
        <v>5</v>
      </c>
      <c r="E61" s="14" t="s">
        <v>19</v>
      </c>
      <c r="F61" s="9" t="s">
        <v>20</v>
      </c>
    </row>
    <row r="62" spans="1:11" ht="30" x14ac:dyDescent="0.25">
      <c r="A62" s="16">
        <v>43228</v>
      </c>
      <c r="B62" s="17">
        <f t="shared" si="50"/>
        <v>19</v>
      </c>
      <c r="C62" s="18">
        <v>1</v>
      </c>
      <c r="D62" s="19" t="s">
        <v>5</v>
      </c>
      <c r="E62" s="14" t="s">
        <v>18</v>
      </c>
      <c r="F62" s="9"/>
    </row>
    <row r="63" spans="1:11" ht="15.75" x14ac:dyDescent="0.25">
      <c r="I63" s="28" t="s">
        <v>12</v>
      </c>
      <c r="J63" s="29"/>
      <c r="K63" s="29"/>
    </row>
    <row r="64" spans="1:11" x14ac:dyDescent="0.25">
      <c r="I64" s="30" t="s">
        <v>13</v>
      </c>
      <c r="J64" s="31"/>
      <c r="K64" s="15">
        <v>0</v>
      </c>
    </row>
    <row r="65" spans="9:11" x14ac:dyDescent="0.25">
      <c r="I65" s="32" t="s">
        <v>14</v>
      </c>
      <c r="J65" s="33"/>
      <c r="K65" s="15">
        <v>8</v>
      </c>
    </row>
    <row r="66" spans="9:11" x14ac:dyDescent="0.25">
      <c r="I66" s="32" t="s">
        <v>15</v>
      </c>
      <c r="J66" s="33"/>
      <c r="K66" s="15">
        <v>6</v>
      </c>
    </row>
    <row r="67" spans="9:11" x14ac:dyDescent="0.25">
      <c r="I67" s="32" t="s">
        <v>16</v>
      </c>
      <c r="J67" s="33"/>
      <c r="K67" s="15">
        <v>9</v>
      </c>
    </row>
    <row r="68" spans="9:11" ht="15.75" thickBot="1" x14ac:dyDescent="0.3">
      <c r="I68" s="26" t="s">
        <v>17</v>
      </c>
      <c r="J68" s="27"/>
      <c r="K68" s="15">
        <v>7</v>
      </c>
    </row>
    <row r="69" spans="9:11" ht="15.75" thickBot="1" x14ac:dyDescent="0.3">
      <c r="I69" s="23" t="s">
        <v>21</v>
      </c>
      <c r="J69" s="24"/>
      <c r="K69" s="25"/>
    </row>
    <row r="71" spans="9:11" x14ac:dyDescent="0.25">
      <c r="I71" s="22" t="s">
        <v>26</v>
      </c>
      <c r="J71" s="22"/>
      <c r="K71" s="8">
        <f>SUM(K64:K68)</f>
        <v>30</v>
      </c>
    </row>
  </sheetData>
  <sheetProtection selectLockedCells="1"/>
  <mergeCells count="8">
    <mergeCell ref="I71:J71"/>
    <mergeCell ref="I69:K69"/>
    <mergeCell ref="I68:J68"/>
    <mergeCell ref="I63:K63"/>
    <mergeCell ref="I64:J64"/>
    <mergeCell ref="I65:J65"/>
    <mergeCell ref="I66:J66"/>
    <mergeCell ref="I67:J67"/>
  </mergeCells>
  <hyperlinks>
    <hyperlink ref="I69" r:id="rId1"/>
  </hyperlinks>
  <pageMargins left="0.7" right="0.7" top="0.75" bottom="0.75" header="0.3" footer="0.3"/>
  <pageSetup paperSize="15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E11"/>
  <sheetViews>
    <sheetView workbookViewId="0">
      <selection activeCell="B4" sqref="B4:E10"/>
    </sheetView>
  </sheetViews>
  <sheetFormatPr baseColWidth="10" defaultRowHeight="15" x14ac:dyDescent="0.25"/>
  <cols>
    <col min="1" max="1" width="12.5703125" customWidth="1"/>
    <col min="2" max="2" width="17" bestFit="1" customWidth="1"/>
    <col min="3" max="3" width="17.7109375" bestFit="1" customWidth="1"/>
    <col min="4" max="4" width="8" bestFit="1" customWidth="1"/>
    <col min="5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5" x14ac:dyDescent="0.25">
      <c r="B3" t="s">
        <v>8</v>
      </c>
      <c r="C3" t="s">
        <v>6</v>
      </c>
      <c r="D3" t="s">
        <v>5</v>
      </c>
      <c r="E3" t="s">
        <v>10</v>
      </c>
    </row>
    <row r="4" spans="1:5" x14ac:dyDescent="0.25">
      <c r="A4" s="3">
        <v>43235</v>
      </c>
      <c r="B4" s="20"/>
      <c r="C4" s="20"/>
      <c r="D4" s="20"/>
      <c r="E4" s="20"/>
    </row>
    <row r="5" spans="1:5" x14ac:dyDescent="0.25">
      <c r="A5" s="3">
        <v>43229</v>
      </c>
      <c r="B5" s="20"/>
      <c r="C5" s="20"/>
      <c r="D5" s="20"/>
      <c r="E5" s="20"/>
    </row>
    <row r="6" spans="1:5" x14ac:dyDescent="0.25">
      <c r="A6" s="3">
        <v>43228</v>
      </c>
      <c r="B6" s="20"/>
      <c r="C6" s="20"/>
      <c r="D6" s="20"/>
      <c r="E6" s="20"/>
    </row>
    <row r="7" spans="1:5" x14ac:dyDescent="0.25">
      <c r="A7" s="3">
        <v>43237</v>
      </c>
      <c r="B7" s="20"/>
      <c r="C7" s="20"/>
      <c r="D7" s="20"/>
      <c r="E7" s="20"/>
    </row>
    <row r="8" spans="1:5" x14ac:dyDescent="0.25">
      <c r="A8" s="3">
        <v>43236</v>
      </c>
      <c r="B8" s="20"/>
      <c r="C8" s="20"/>
      <c r="D8" s="20"/>
      <c r="E8" s="20"/>
    </row>
    <row r="9" spans="1:5" x14ac:dyDescent="0.25">
      <c r="A9" s="3">
        <v>43242</v>
      </c>
      <c r="B9" s="20"/>
      <c r="C9" s="20"/>
      <c r="D9" s="20"/>
      <c r="E9" s="20"/>
    </row>
    <row r="10" spans="1:5" x14ac:dyDescent="0.25">
      <c r="A10" s="3">
        <v>43238</v>
      </c>
      <c r="B10" s="20"/>
      <c r="C10" s="20"/>
      <c r="D10" s="20"/>
      <c r="E10" s="20"/>
    </row>
    <row r="11" spans="1:5" x14ac:dyDescent="0.25">
      <c r="A11" s="3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2018-05-25T12:32:39Z</dcterms:modified>
</cp:coreProperties>
</file>