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 l="1"/>
  <c r="B8" i="1"/>
  <c r="B9" i="1"/>
  <c r="B10" i="1" l="1"/>
  <c r="B11" i="1"/>
  <c r="B12" i="1"/>
  <c r="B13" i="1"/>
  <c r="K29" i="1"/>
  <c r="B14" i="1"/>
  <c r="B15" i="1" l="1"/>
  <c r="B16" i="1"/>
  <c r="B17" i="1"/>
  <c r="B18" i="1"/>
  <c r="B19" i="1"/>
  <c r="B20" i="1"/>
</calcChain>
</file>

<file path=xl/sharedStrings.xml><?xml version="1.0" encoding="utf-8"?>
<sst xmlns="http://schemas.openxmlformats.org/spreadsheetml/2006/main" count="69" uniqueCount="46">
  <si>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</si>
  <si>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</si>
  <si>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</si>
  <si>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</si>
  <si>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</si>
  <si>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</si>
  <si>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</si>
  <si>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</si>
  <si>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</si>
  <si>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</si>
  <si>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</si>
  <si>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</si>
  <si>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Temps de travail</t>
  </si>
  <si>
    <t>Lundi</t>
  </si>
  <si>
    <t>Mardi</t>
  </si>
  <si>
    <t>Mercredi</t>
  </si>
  <si>
    <t>Jeudi</t>
  </si>
  <si>
    <t>Vendredi</t>
  </si>
  <si>
    <t>Rencontrer l’expert et signer le cahier des charges</t>
  </si>
  <si>
    <t>Planification initiale</t>
  </si>
  <si>
    <t>Les serveurs tréllo ont planté et certaines données ont été perdues</t>
  </si>
  <si>
    <t xml:space="preserve">https://www.fanchcreation.eu/heures/ </t>
  </si>
  <si>
    <t>Lire le cahier des charges, et réfléchir à la meilleur façon de planifié le TPI</t>
  </si>
  <si>
    <t>Définir les différents use cases et commencer les scénarios</t>
  </si>
  <si>
    <t>Discuter avec le client sur le fonctionnement d'une partie de Fishermen Land</t>
  </si>
  <si>
    <t>Temps [période]</t>
  </si>
  <si>
    <t>Total semaine</t>
  </si>
  <si>
    <t>Mettre à jour le journal de travail, journal de bord, envoyer la planification initiale, commit le repository GitHub</t>
  </si>
  <si>
    <t>Modification de la planification initiale. Calculer le nombre de périodes nécessaires pour chaque tâche et les ajouter sur trello à l'aide de "Scrum for trello"</t>
  </si>
  <si>
    <t>En rajoutant le nombre de périodes nécessaires, j'ai pu me rendre compte que je n'avais pas bien planifié</t>
  </si>
  <si>
    <t>Commit le GitHub, envoyer les documents</t>
  </si>
  <si>
    <t>Mettre à jour le journal de travail et le journal de bord</t>
  </si>
  <si>
    <t>Illuster la page de titre à l'aide de textures trouvées sur internet et photoshop</t>
  </si>
  <si>
    <t>Compléter l'introduction, les objectifs et la planification initiale</t>
  </si>
  <si>
    <t>Implémenter les maquettes, les use cases et les scénarios</t>
  </si>
  <si>
    <t>Tenir a jour le journal de travail et répondre aux mails</t>
  </si>
  <si>
    <t>Créer le MCD et la base de données</t>
  </si>
  <si>
    <t>Réflexion sur la manière de gérer les scores et la façon de créer une place. Ce point sera surement repris dans la "Particularité 1" se trouvant dans la documentation.</t>
  </si>
  <si>
    <t>Gérer le système de connexion</t>
  </si>
  <si>
    <t>J'ai repris des bouts de code déjà existant, commenter et modifier certaines fonctions</t>
  </si>
  <si>
    <t>Lister les differentes parties disponibles et ajout des boutons pour rejoindre une partie</t>
  </si>
  <si>
    <t>Quelques changements dans la base de donnée ont étés faits. Lors de la réalisation je me suis rendu compte qu'on ne pouvait pas gérer correctement les paramétrages d'une partie</t>
  </si>
  <si>
    <t>Tenir a jour le journal de travail et de bord, mettre à jour le trello et les tâches accomplies</t>
  </si>
  <si>
    <t>Reprendre un MLD et MCD à jour, ajouter les maquettes, scénarios et uses cases</t>
  </si>
  <si>
    <t>Recherches en rapport avec les array_push afin d'ajouter une valeur dans un tableau et éviter la répétition</t>
  </si>
  <si>
    <t>Je n'ai pas trouvé ce que je recherchais, j'ai donc utiliser une répétition. Afin de gérer ce problème je relirais le code qui avait été utiliser pour faire un "Puissance 4", celui-ci comporte ce dont j'ai besoin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</si>
</sst>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NumberFormat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6" fillId="0" borderId="0" xfId="0" applyFont="1" applyFill="1"/>
    <xf numFmtId="0" fontId="0" fillId="0" borderId="0" xfId="0" applyAlignment="1" applyProtection="1">
      <alignment horizontal="center"/>
      <protection locked="0"/>
    </xf>
    <xf numFmtId="0" fontId="5" fillId="2" borderId="7" xfId="1" applyFill="1" applyBorder="1" applyAlignment="1" applyProtection="1">
      <alignment horizontal="center"/>
      <protection locked="0"/>
    </xf>
    <xf numFmtId="0" fontId="5" fillId="2" borderId="8" xfId="1" applyFill="1" applyBorder="1" applyAlignment="1" applyProtection="1">
      <alignment horizontal="center"/>
      <protection locked="0"/>
    </xf>
    <xf numFmtId="0" fontId="5" fillId="2" borderId="9" xfId="1" applyFill="1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235.608028009257" createdVersion="4" refreshedVersion="6" minRefreshableVersion="3" recordCount="14">
  <cacheSource type="worksheet">
    <worksheetSource ref="A1:D20" sheet="Journal"/>
  </cacheSource>
  <cacheFields count="4">
    <cacheField name="Jour" numFmtId="16">
      <sharedItems containsSemiMixedTypes="0" containsNonDate="0" containsDate="1" containsString="0" minDate="2018-01-01T00:00:00" maxDate="2018-05-16T00:00:00" count="20">
        <d v="2018-05-15T00:00:00"/>
        <d v="2018-05-09T00:00:00"/>
        <d v="2018-05-08T00:00:00"/>
        <d v="2018-02-09T00:00:00" u="1"/>
        <d v="2018-02-28T00:00:00" u="1"/>
        <d v="2018-02-02T00:00:00" u="1"/>
        <d v="2018-03-07T00:00:00" u="1"/>
        <d v="2018-02-14T00:00:00" u="1"/>
        <d v="2018-02-07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2-13T00:00:00" u="1"/>
        <d v="2018-01-01T00:00:00" u="1"/>
        <d v="2018-02-06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9" maxValue="20"/>
    </cacheField>
    <cacheField name="Temps [période]" numFmtId="0">
      <sharedItems containsString="0" containsBlank="1" containsNumber="1" minValue="0.5" maxValue="5"/>
    </cacheField>
    <cacheField name="Type" numFmtId="0">
      <sharedItems count="4">
        <s v="Implémentation"/>
        <s v="Analyse"/>
        <s v="Docu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n v="20"/>
    <m/>
    <x v="0"/>
  </r>
  <r>
    <x v="0"/>
    <n v="20"/>
    <m/>
    <x v="0"/>
  </r>
  <r>
    <x v="0"/>
    <n v="20"/>
    <n v="5"/>
    <x v="0"/>
  </r>
  <r>
    <x v="1"/>
    <n v="19"/>
    <n v="0.5"/>
    <x v="0"/>
  </r>
  <r>
    <x v="1"/>
    <n v="19"/>
    <n v="0.5"/>
    <x v="0"/>
  </r>
  <r>
    <x v="1"/>
    <n v="19"/>
    <n v="1"/>
    <x v="1"/>
  </r>
  <r>
    <x v="1"/>
    <n v="19"/>
    <n v="1.5"/>
    <x v="1"/>
  </r>
  <r>
    <x v="1"/>
    <n v="19"/>
    <n v="2.5"/>
    <x v="2"/>
  </r>
  <r>
    <x v="2"/>
    <n v="19"/>
    <n v="0.5"/>
    <x v="0"/>
  </r>
  <r>
    <x v="2"/>
    <n v="19"/>
    <n v="1"/>
    <x v="0"/>
  </r>
  <r>
    <x v="2"/>
    <n v="19"/>
    <n v="2"/>
    <x v="0"/>
  </r>
  <r>
    <x v="2"/>
    <n v="19"/>
    <n v="1"/>
    <x v="1"/>
  </r>
  <r>
    <x v="1"/>
    <n v="19"/>
    <n v="2.5"/>
    <x v="1"/>
  </r>
  <r>
    <x v="2"/>
    <n v="19"/>
    <n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E7" firstHeaderRow="0" firstDataRow="1" firstDataCol="1"/>
  <pivotFields count="4">
    <pivotField axis="axisRow" numFmtId="16" showAll="0">
      <items count="21">
        <item m="1" x="16"/>
        <item m="1" x="11"/>
        <item m="1" x="8"/>
        <item m="1" x="17"/>
        <item m="1" x="5"/>
        <item m="1" x="13"/>
        <item m="1" x="19"/>
        <item m="1" x="10"/>
        <item m="1" x="7"/>
        <item m="1" x="15"/>
        <item m="1" x="3"/>
        <item m="1" x="12"/>
        <item m="1" x="4"/>
        <item m="1" x="18"/>
        <item m="1" x="9"/>
        <item m="1" x="6"/>
        <item m="1" x="14"/>
        <item x="0"/>
        <item x="1"/>
        <item x="2"/>
        <item t="default"/>
      </items>
    </pivotField>
    <pivotField showAll="0"/>
    <pivotField showAll="0" defaultSubtotal="0"/>
    <pivotField axis="axisCol" showAll="0">
      <items count="5">
        <item x="2"/>
        <item x="0"/>
        <item x="1"/>
        <item m="1" x="3"/>
        <item t="default"/>
      </items>
    </pivotField>
  </pivotFields>
  <rowFields count="1">
    <field x="0"/>
  </rowFields>
  <rowItems count="4">
    <i>
      <x v="17"/>
    </i>
    <i>
      <x v="18"/>
    </i>
    <i>
      <x v="19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fanchcreation.eu/heures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29"/>
  <sheetViews>
    <sheetView tabSelected="1" topLeftCell="A4" workbookViewId="0">
      <selection activeCell="K13" sqref="K13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45.5703125" style="11" customWidth="1"/>
    <col min="6" max="6" width="48.7109375" style="11" customWidth="1"/>
    <col min="7" max="10" width="9.140625" style="8"/>
    <col min="11" max="11" width="19.85546875" style="8" customWidth="1"/>
    <col min="12" max="16384" width="9.140625" style="8"/>
  </cols>
  <sheetData>
    <row r="1" spans="1:6" ht="24" customHeight="1" x14ac:dyDescent="0.25">
      <c r="A1" s="4" t="s">
        <v>2</v>
      </c>
      <c r="B1" s="12" t="s">
        <v>11</v>
      </c>
      <c r="C1" s="6" t="s">
        <v>25</v>
      </c>
      <c r="D1" s="4" t="s">
        <v>3</v>
      </c>
      <c r="E1" s="7" t="s">
        <v>0</v>
      </c>
      <c r="F1" s="7" t="s">
        <v>1</v>
      </c>
    </row>
    <row r="2" spans="1:6" ht="60" x14ac:dyDescent="0.25">
      <c r="A2" s="16">
        <v>43236</v>
      </c>
      <c r="B2" s="17">
        <f t="shared" ref="B2" si="0">WEEKNUM(A2)</f>
        <v>20</v>
      </c>
      <c r="C2" s="18">
        <v>0.5</v>
      </c>
      <c r="D2" s="19" t="s">
        <v>8</v>
      </c>
      <c r="E2" s="14" t="s">
        <v>44</v>
      </c>
      <c r="F2" s="9" t="s">
        <v>45</v>
      </c>
    </row>
    <row r="3" spans="1:6" ht="30" x14ac:dyDescent="0.25">
      <c r="A3" s="16">
        <v>43236</v>
      </c>
      <c r="B3" s="17">
        <f t="shared" ref="B3" si="1">WEEKNUM(A3)</f>
        <v>20</v>
      </c>
      <c r="C3" s="18">
        <v>1</v>
      </c>
      <c r="D3" s="19" t="s">
        <v>8</v>
      </c>
      <c r="E3" s="14" t="s">
        <v>43</v>
      </c>
      <c r="F3" s="9"/>
    </row>
    <row r="4" spans="1:6" ht="30" x14ac:dyDescent="0.25">
      <c r="A4" s="16">
        <v>43236</v>
      </c>
      <c r="B4" s="17">
        <f t="shared" ref="B4" si="2">WEEKNUM(A4)</f>
        <v>20</v>
      </c>
      <c r="C4" s="18">
        <v>0.5</v>
      </c>
      <c r="D4" s="19" t="s">
        <v>6</v>
      </c>
      <c r="E4" s="14" t="s">
        <v>42</v>
      </c>
      <c r="F4" s="9"/>
    </row>
    <row r="5" spans="1:6" ht="60" x14ac:dyDescent="0.25">
      <c r="A5" s="16">
        <v>43236</v>
      </c>
      <c r="B5" s="17">
        <f t="shared" ref="B5" si="3">WEEKNUM(A5)</f>
        <v>20</v>
      </c>
      <c r="C5" s="18">
        <v>3</v>
      </c>
      <c r="D5" s="19" t="s">
        <v>6</v>
      </c>
      <c r="E5" s="14" t="s">
        <v>40</v>
      </c>
      <c r="F5" s="9" t="s">
        <v>41</v>
      </c>
    </row>
    <row r="6" spans="1:6" ht="30" x14ac:dyDescent="0.25">
      <c r="A6" s="16">
        <v>43236</v>
      </c>
      <c r="B6" s="17">
        <f t="shared" ref="B6" si="4">WEEKNUM(A6)</f>
        <v>20</v>
      </c>
      <c r="C6" s="18">
        <v>1.5</v>
      </c>
      <c r="D6" s="19" t="s">
        <v>6</v>
      </c>
      <c r="E6" s="14" t="s">
        <v>38</v>
      </c>
      <c r="F6" s="9" t="s">
        <v>39</v>
      </c>
    </row>
    <row r="7" spans="1:6" ht="45" x14ac:dyDescent="0.25">
      <c r="A7" s="16">
        <v>43235</v>
      </c>
      <c r="B7" s="17">
        <f t="shared" ref="B7" si="5">WEEKNUM(A7)</f>
        <v>20</v>
      </c>
      <c r="C7" s="18">
        <v>2.5</v>
      </c>
      <c r="D7" s="19" t="s">
        <v>6</v>
      </c>
      <c r="E7" s="14" t="s">
        <v>36</v>
      </c>
      <c r="F7" s="9" t="s">
        <v>37</v>
      </c>
    </row>
    <row r="8" spans="1:6" ht="30" x14ac:dyDescent="0.25">
      <c r="A8" s="16">
        <v>43235</v>
      </c>
      <c r="B8" s="17">
        <f t="shared" ref="B8" si="6">WEEKNUM(A8)</f>
        <v>20</v>
      </c>
      <c r="C8" s="18">
        <v>0.5</v>
      </c>
      <c r="D8" s="19" t="s">
        <v>8</v>
      </c>
      <c r="E8" s="14" t="s">
        <v>35</v>
      </c>
      <c r="F8" s="9"/>
    </row>
    <row r="9" spans="1:6" ht="30" x14ac:dyDescent="0.25">
      <c r="A9" s="16">
        <v>43235</v>
      </c>
      <c r="B9" s="17">
        <f t="shared" ref="B9" si="7">WEEKNUM(A9)</f>
        <v>20</v>
      </c>
      <c r="C9" s="18">
        <v>5</v>
      </c>
      <c r="D9" s="19" t="s">
        <v>5</v>
      </c>
      <c r="E9" s="14" t="s">
        <v>34</v>
      </c>
      <c r="F9" s="9"/>
    </row>
    <row r="10" spans="1:6" ht="30" x14ac:dyDescent="0.25">
      <c r="A10" s="16">
        <v>43229</v>
      </c>
      <c r="B10" s="17">
        <f t="shared" ref="B10:B20" si="8">WEEKNUM(A10)</f>
        <v>19</v>
      </c>
      <c r="C10" s="18">
        <v>0.5</v>
      </c>
      <c r="D10" s="19" t="s">
        <v>6</v>
      </c>
      <c r="E10" s="14" t="s">
        <v>31</v>
      </c>
      <c r="F10" s="9"/>
    </row>
    <row r="11" spans="1:6" x14ac:dyDescent="0.25">
      <c r="A11" s="16">
        <v>43229</v>
      </c>
      <c r="B11" s="17">
        <f t="shared" si="8"/>
        <v>19</v>
      </c>
      <c r="C11" s="18">
        <v>0.5</v>
      </c>
      <c r="D11" s="19" t="s">
        <v>6</v>
      </c>
      <c r="E11" s="14" t="s">
        <v>30</v>
      </c>
      <c r="F11" s="9"/>
    </row>
    <row r="12" spans="1:6" ht="30" x14ac:dyDescent="0.25">
      <c r="A12" s="16">
        <v>43229</v>
      </c>
      <c r="B12" s="17">
        <f t="shared" si="8"/>
        <v>19</v>
      </c>
      <c r="C12" s="18">
        <v>1</v>
      </c>
      <c r="D12" s="19" t="s">
        <v>5</v>
      </c>
      <c r="E12" s="14" t="s">
        <v>33</v>
      </c>
      <c r="F12" s="9"/>
    </row>
    <row r="13" spans="1:6" ht="45" x14ac:dyDescent="0.25">
      <c r="A13" s="16">
        <v>43229</v>
      </c>
      <c r="B13" s="17">
        <f t="shared" si="8"/>
        <v>19</v>
      </c>
      <c r="C13" s="18">
        <v>1.5</v>
      </c>
      <c r="D13" s="19" t="s">
        <v>5</v>
      </c>
      <c r="E13" s="14" t="s">
        <v>28</v>
      </c>
      <c r="F13" s="9" t="s">
        <v>29</v>
      </c>
    </row>
    <row r="14" spans="1:6" ht="30" x14ac:dyDescent="0.25">
      <c r="A14" s="16">
        <v>43229</v>
      </c>
      <c r="B14" s="17">
        <f t="shared" si="8"/>
        <v>19</v>
      </c>
      <c r="C14" s="18">
        <v>2.5</v>
      </c>
      <c r="D14" s="19" t="s">
        <v>8</v>
      </c>
      <c r="E14" s="14" t="s">
        <v>32</v>
      </c>
      <c r="F14" s="9"/>
    </row>
    <row r="15" spans="1:6" ht="45" x14ac:dyDescent="0.25">
      <c r="A15" s="16">
        <v>43228</v>
      </c>
      <c r="B15" s="17">
        <f t="shared" si="8"/>
        <v>19</v>
      </c>
      <c r="C15" s="18">
        <v>0.5</v>
      </c>
      <c r="D15" s="19" t="s">
        <v>6</v>
      </c>
      <c r="E15" s="14" t="s">
        <v>27</v>
      </c>
      <c r="F15" s="9"/>
    </row>
    <row r="16" spans="1:6" ht="30" x14ac:dyDescent="0.25">
      <c r="A16" s="16">
        <v>43228</v>
      </c>
      <c r="B16" s="17">
        <f t="shared" si="8"/>
        <v>19</v>
      </c>
      <c r="C16" s="18">
        <v>1</v>
      </c>
      <c r="D16" s="19" t="s">
        <v>6</v>
      </c>
      <c r="E16" s="14" t="s">
        <v>24</v>
      </c>
      <c r="F16" s="9"/>
    </row>
    <row r="17" spans="1:11" ht="30" x14ac:dyDescent="0.25">
      <c r="A17" s="16">
        <v>43228</v>
      </c>
      <c r="B17" s="17">
        <f t="shared" si="8"/>
        <v>19</v>
      </c>
      <c r="C17" s="18">
        <v>2</v>
      </c>
      <c r="D17" s="19" t="s">
        <v>6</v>
      </c>
      <c r="E17" s="14" t="s">
        <v>23</v>
      </c>
      <c r="F17" s="9"/>
    </row>
    <row r="18" spans="1:11" ht="30" x14ac:dyDescent="0.25">
      <c r="A18" s="16">
        <v>43228</v>
      </c>
      <c r="B18" s="17">
        <f t="shared" si="8"/>
        <v>19</v>
      </c>
      <c r="C18" s="18">
        <v>1</v>
      </c>
      <c r="D18" s="19" t="s">
        <v>5</v>
      </c>
      <c r="E18" s="14" t="s">
        <v>22</v>
      </c>
      <c r="F18" s="9"/>
    </row>
    <row r="19" spans="1:11" ht="30" x14ac:dyDescent="0.25">
      <c r="A19" s="16">
        <v>43229</v>
      </c>
      <c r="B19" s="17">
        <f t="shared" si="8"/>
        <v>19</v>
      </c>
      <c r="C19" s="18">
        <v>2.5</v>
      </c>
      <c r="D19" s="19" t="s">
        <v>5</v>
      </c>
      <c r="E19" s="14" t="s">
        <v>19</v>
      </c>
      <c r="F19" s="9" t="s">
        <v>20</v>
      </c>
    </row>
    <row r="20" spans="1:11" x14ac:dyDescent="0.25">
      <c r="A20" s="16">
        <v>43228</v>
      </c>
      <c r="B20" s="17">
        <f t="shared" si="8"/>
        <v>19</v>
      </c>
      <c r="C20" s="18">
        <v>1</v>
      </c>
      <c r="D20" s="19" t="s">
        <v>5</v>
      </c>
      <c r="E20" s="14" t="s">
        <v>18</v>
      </c>
      <c r="F20" s="9"/>
    </row>
    <row r="21" spans="1:11" ht="15.75" x14ac:dyDescent="0.25">
      <c r="I21" s="27" t="s">
        <v>12</v>
      </c>
      <c r="J21" s="28"/>
      <c r="K21" s="28"/>
    </row>
    <row r="22" spans="1:11" x14ac:dyDescent="0.25">
      <c r="I22" s="29" t="s">
        <v>13</v>
      </c>
      <c r="J22" s="30"/>
      <c r="K22" s="15">
        <v>0</v>
      </c>
    </row>
    <row r="23" spans="1:11" x14ac:dyDescent="0.25">
      <c r="I23" s="31" t="s">
        <v>14</v>
      </c>
      <c r="J23" s="32"/>
      <c r="K23" s="15">
        <v>8</v>
      </c>
    </row>
    <row r="24" spans="1:11" x14ac:dyDescent="0.25">
      <c r="I24" s="31" t="s">
        <v>15</v>
      </c>
      <c r="J24" s="32"/>
      <c r="K24" s="15">
        <v>6</v>
      </c>
    </row>
    <row r="25" spans="1:11" x14ac:dyDescent="0.25">
      <c r="I25" s="31" t="s">
        <v>16</v>
      </c>
      <c r="J25" s="32"/>
      <c r="K25" s="15">
        <v>9</v>
      </c>
    </row>
    <row r="26" spans="1:11" ht="15.75" thickBot="1" x14ac:dyDescent="0.3">
      <c r="I26" s="25" t="s">
        <v>17</v>
      </c>
      <c r="J26" s="26"/>
      <c r="K26" s="15">
        <v>7</v>
      </c>
    </row>
    <row r="27" spans="1:11" ht="15.75" thickBot="1" x14ac:dyDescent="0.3">
      <c r="I27" s="22" t="s">
        <v>21</v>
      </c>
      <c r="J27" s="23"/>
      <c r="K27" s="24"/>
    </row>
    <row r="29" spans="1:11" x14ac:dyDescent="0.25">
      <c r="I29" s="21" t="s">
        <v>26</v>
      </c>
      <c r="J29" s="21"/>
      <c r="K29" s="8">
        <f>SUM(K22:K26)</f>
        <v>30</v>
      </c>
    </row>
  </sheetData>
  <sheetProtection selectLockedCells="1"/>
  <mergeCells count="8">
    <mergeCell ref="I29:J29"/>
    <mergeCell ref="I27:K27"/>
    <mergeCell ref="I26:J26"/>
    <mergeCell ref="I21:K21"/>
    <mergeCell ref="I22:J22"/>
    <mergeCell ref="I23:J23"/>
    <mergeCell ref="I24:J24"/>
    <mergeCell ref="I25:J25"/>
  </mergeCells>
  <hyperlinks>
    <hyperlink ref="I27" r:id="rId1"/>
  </hyperlinks>
  <pageMargins left="0.7" right="0.7" top="0.75" bottom="0.75" header="0.3" footer="0.3"/>
  <pageSetup paperSize="15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E7"/>
  <sheetViews>
    <sheetView workbookViewId="0">
      <selection activeCell="G6" sqref="G6"/>
    </sheetView>
  </sheetViews>
  <sheetFormatPr baseColWidth="10" defaultRowHeight="15" x14ac:dyDescent="0.25"/>
  <cols>
    <col min="1" max="1" width="12.5703125" customWidth="1"/>
    <col min="2" max="2" width="17" bestFit="1" customWidth="1"/>
    <col min="3" max="3" width="17.7109375" bestFit="1" customWidth="1"/>
    <col min="4" max="4" width="8" bestFit="1" customWidth="1"/>
    <col min="5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5" x14ac:dyDescent="0.25">
      <c r="B3" t="s">
        <v>8</v>
      </c>
      <c r="C3" t="s">
        <v>6</v>
      </c>
      <c r="D3" t="s">
        <v>5</v>
      </c>
      <c r="E3" t="s">
        <v>10</v>
      </c>
    </row>
    <row r="4" spans="1:5" x14ac:dyDescent="0.25">
      <c r="A4" s="3">
        <v>43235</v>
      </c>
      <c r="B4" s="20"/>
      <c r="C4" s="20"/>
      <c r="D4" s="20"/>
      <c r="E4" s="20"/>
    </row>
    <row r="5" spans="1:5" x14ac:dyDescent="0.25">
      <c r="A5" s="3">
        <v>43229</v>
      </c>
      <c r="B5" s="20"/>
      <c r="C5" s="20"/>
      <c r="D5" s="20"/>
      <c r="E5" s="20"/>
    </row>
    <row r="6" spans="1:5" x14ac:dyDescent="0.25">
      <c r="A6" s="3">
        <v>43228</v>
      </c>
      <c r="B6" s="20"/>
      <c r="C6" s="20"/>
      <c r="D6" s="20"/>
      <c r="E6" s="20"/>
    </row>
    <row r="7" spans="1:5" x14ac:dyDescent="0.25">
      <c r="A7" s="3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2018-05-16T12:17:41Z</dcterms:modified>
</cp:coreProperties>
</file>