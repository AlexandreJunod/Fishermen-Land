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 l="1"/>
  <c r="B6" i="1"/>
  <c r="B7" i="1"/>
  <c r="B8" i="1"/>
  <c r="K24" i="1"/>
  <c r="B9" i="1"/>
  <c r="B10" i="1" l="1"/>
  <c r="B11" i="1"/>
  <c r="B12" i="1"/>
  <c r="B13" i="1"/>
  <c r="B14" i="1"/>
  <c r="B15" i="1"/>
</calcChain>
</file>

<file path=xl/sharedStrings.xml><?xml version="1.0" encoding="utf-8"?>
<sst xmlns="http://schemas.openxmlformats.org/spreadsheetml/2006/main" count="54" uniqueCount="36">
  <si>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</si>
  <si>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</si>
  <si>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</si>
  <si>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</si>
  <si>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</si>
  <si>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</si>
  <si>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</si>
  <si>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</si>
  <si>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</si>
  <si>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</si>
  <si>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</si>
  <si>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</si>
  <si>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</si>
  <si>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</si>
  <si>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</si>
  <si>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</si>
  <si>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</si>
  <si>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</si>
  <si>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</si>
  <si>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</si>
  <si>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</si>
  <si>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</si>
  <si>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</si>
  <si>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</si>
  <si>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</si>
  <si>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Temps [période]</t>
  </si>
  <si>
    <t>Total semaine</t>
  </si>
  <si>
    <t>Mettre à jour le journal de travail, journal de bord, envoyer la planification initiale, commit le repository GitHub</t>
  </si>
  <si>
    <t>Modification de la planification initiale. Calculer le nombre de périodes nécessaires pour chaque tâche et les ajouter sur trello à l'aide de "Scrum for trello"</t>
  </si>
  <si>
    <t>En rajoutant le nombre de périodes nécessaires, j'ai pu me rendre compte que je n'avais pas bien planifié</t>
  </si>
  <si>
    <t>Commit le GitHub, envoyer les documents</t>
  </si>
  <si>
    <t>Mettre à jour le journal de travail et le journal de bord</t>
  </si>
  <si>
    <t>Illuster la page de titre à l'aide de textures trouvées sur internet et photoshop</t>
  </si>
  <si>
    <t>Compléter l'introduction, les objectifs et la planification initiale</t>
  </si>
  <si>
    <t>Implémenter les maquettes, les use cases et les scénarios</t>
  </si>
  <si>
    <t>Tenir a jour le journal de travail et répondre aux mails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</si>
</sst>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5" fillId="2" borderId="7" xfId="1" applyFill="1" applyBorder="1" applyAlignment="1" applyProtection="1">
      <alignment horizontal="center"/>
      <protection locked="0"/>
    </xf>
    <xf numFmtId="0" fontId="5" fillId="2" borderId="8" xfId="1" applyFill="1" applyBorder="1" applyAlignment="1" applyProtection="1">
      <alignment horizontal="center"/>
      <protection locked="0"/>
    </xf>
    <xf numFmtId="0" fontId="5" fillId="2" borderId="9" xfId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Fill="1"/>
  </cellXfs>
  <cellStyles count="2">
    <cellStyle name="Lien hypertexte" xfId="1" builtinId="8"/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5.608028009257" createdVersion="4" refreshedVersion="6" minRefreshableVersion="3" recordCount="14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5-16T00:00:00" count="20">
        <d v="2018-05-15T00:00:00"/>
        <d v="2018-05-09T00:00:00"/>
        <d v="2018-05-08T00:00:00"/>
        <d v="2018-02-09T00:00:00" u="1"/>
        <d v="2018-02-28T00:00:00" u="1"/>
        <d v="2018-02-02T00:00:00" u="1"/>
        <d v="2018-03-07T00:00:00" u="1"/>
        <d v="2018-02-14T00:00:00" u="1"/>
        <d v="2018-02-07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période]" numFmtId="0">
      <sharedItems containsString="0" containsBlank="1" containsNumber="1" minValue="0.5" maxValue="5"/>
    </cacheField>
    <cacheField name="Type" numFmtId="0">
      <sharedItems count="4">
        <s v="Implémentation"/>
        <s v="Analyse"/>
        <s v="Docu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n v="20"/>
    <m/>
    <x v="0"/>
  </r>
  <r>
    <x v="0"/>
    <n v="20"/>
    <m/>
    <x v="0"/>
  </r>
  <r>
    <x v="0"/>
    <n v="20"/>
    <n v="5"/>
    <x v="0"/>
  </r>
  <r>
    <x v="1"/>
    <n v="19"/>
    <n v="0.5"/>
    <x v="0"/>
  </r>
  <r>
    <x v="1"/>
    <n v="19"/>
    <n v="0.5"/>
    <x v="0"/>
  </r>
  <r>
    <x v="1"/>
    <n v="19"/>
    <n v="1"/>
    <x v="1"/>
  </r>
  <r>
    <x v="1"/>
    <n v="19"/>
    <n v="1.5"/>
    <x v="1"/>
  </r>
  <r>
    <x v="1"/>
    <n v="19"/>
    <n v="2.5"/>
    <x v="2"/>
  </r>
  <r>
    <x v="2"/>
    <n v="19"/>
    <n v="0.5"/>
    <x v="0"/>
  </r>
  <r>
    <x v="2"/>
    <n v="19"/>
    <n v="1"/>
    <x v="0"/>
  </r>
  <r>
    <x v="2"/>
    <n v="19"/>
    <n v="2"/>
    <x v="0"/>
  </r>
  <r>
    <x v="2"/>
    <n v="19"/>
    <n v="1"/>
    <x v="1"/>
  </r>
  <r>
    <x v="1"/>
    <n v="19"/>
    <n v="2.5"/>
    <x v="1"/>
  </r>
  <r>
    <x v="2"/>
    <n v="19"/>
    <n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7" firstHeaderRow="0" firstDataRow="1" firstDataCol="1"/>
  <pivotFields count="4">
    <pivotField axis="axisRow" numFmtId="16" showAll="0">
      <items count="21">
        <item m="1" x="16"/>
        <item m="1" x="11"/>
        <item m="1" x="8"/>
        <item m="1" x="17"/>
        <item m="1" x="5"/>
        <item m="1" x="13"/>
        <item m="1" x="19"/>
        <item m="1" x="10"/>
        <item m="1" x="7"/>
        <item m="1" x="15"/>
        <item m="1" x="3"/>
        <item m="1" x="12"/>
        <item m="1" x="4"/>
        <item m="1" x="18"/>
        <item m="1" x="9"/>
        <item m="1" x="6"/>
        <item m="1" x="14"/>
        <item x="0"/>
        <item x="1"/>
        <item x="2"/>
        <item t="default"/>
      </items>
    </pivotField>
    <pivotField showAll="0"/>
    <pivotField showAll="0" defaultSubtotal="0"/>
    <pivotField axis="axisCol" showAll="0">
      <items count="5">
        <item x="2"/>
        <item x="0"/>
        <item x="1"/>
        <item m="1" x="3"/>
        <item t="default"/>
      </items>
    </pivotField>
  </pivotFields>
  <rowFields count="1">
    <field x="0"/>
  </rowFields>
  <rowItems count="4">
    <i>
      <x v="17"/>
    </i>
    <i>
      <x v="18"/>
    </i>
    <i>
      <x v="19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4"/>
  <sheetViews>
    <sheetView tabSelected="1" workbookViewId="0">
      <selection activeCell="J8" sqref="J8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7.42578125" style="11" customWidth="1"/>
    <col min="6" max="6" width="34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25</v>
      </c>
      <c r="D1" s="4" t="s">
        <v>3</v>
      </c>
      <c r="E1" s="7" t="s">
        <v>0</v>
      </c>
      <c r="F1" s="7" t="s">
        <v>1</v>
      </c>
    </row>
    <row r="2" spans="1:11" x14ac:dyDescent="0.25">
      <c r="A2" s="16">
        <v>43235</v>
      </c>
      <c r="B2" s="17">
        <f t="shared" ref="B2" si="0">WEEKNUM(A2)</f>
        <v>20</v>
      </c>
      <c r="C2" s="18"/>
      <c r="D2" s="19" t="s">
        <v>6</v>
      </c>
      <c r="E2" s="14"/>
      <c r="F2" s="9"/>
    </row>
    <row r="3" spans="1:11" ht="30" x14ac:dyDescent="0.25">
      <c r="A3" s="16">
        <v>43235</v>
      </c>
      <c r="B3" s="17">
        <f t="shared" ref="B3" si="1">WEEKNUM(A3)</f>
        <v>20</v>
      </c>
      <c r="C3" s="18">
        <v>0.5</v>
      </c>
      <c r="D3" s="19" t="s">
        <v>8</v>
      </c>
      <c r="E3" s="14" t="s">
        <v>35</v>
      </c>
      <c r="F3" s="9"/>
    </row>
    <row r="4" spans="1:11" ht="30" x14ac:dyDescent="0.25">
      <c r="A4" s="16">
        <v>43235</v>
      </c>
      <c r="B4" s="17">
        <f t="shared" ref="B4" si="2">WEEKNUM(A4)</f>
        <v>20</v>
      </c>
      <c r="C4" s="18">
        <v>5</v>
      </c>
      <c r="D4" s="19" t="s">
        <v>5</v>
      </c>
      <c r="E4" s="14" t="s">
        <v>34</v>
      </c>
      <c r="F4" s="9"/>
    </row>
    <row r="5" spans="1:11" ht="30" x14ac:dyDescent="0.25">
      <c r="A5" s="16">
        <v>43229</v>
      </c>
      <c r="B5" s="17">
        <f t="shared" ref="B5:B15" si="3">WEEKNUM(A5)</f>
        <v>19</v>
      </c>
      <c r="C5" s="18">
        <v>0.5</v>
      </c>
      <c r="D5" s="19" t="s">
        <v>6</v>
      </c>
      <c r="E5" s="14" t="s">
        <v>31</v>
      </c>
      <c r="F5" s="9"/>
    </row>
    <row r="6" spans="1:11" x14ac:dyDescent="0.25">
      <c r="A6" s="16">
        <v>43229</v>
      </c>
      <c r="B6" s="17">
        <f t="shared" si="3"/>
        <v>19</v>
      </c>
      <c r="C6" s="18">
        <v>0.5</v>
      </c>
      <c r="D6" s="19" t="s">
        <v>6</v>
      </c>
      <c r="E6" s="14" t="s">
        <v>30</v>
      </c>
      <c r="F6" s="9"/>
    </row>
    <row r="7" spans="1:11" ht="30" x14ac:dyDescent="0.25">
      <c r="A7" s="16">
        <v>43229</v>
      </c>
      <c r="B7" s="17">
        <f t="shared" si="3"/>
        <v>19</v>
      </c>
      <c r="C7" s="18">
        <v>1</v>
      </c>
      <c r="D7" s="19" t="s">
        <v>5</v>
      </c>
      <c r="E7" s="14" t="s">
        <v>33</v>
      </c>
      <c r="F7" s="9"/>
    </row>
    <row r="8" spans="1:11" ht="60" x14ac:dyDescent="0.25">
      <c r="A8" s="16">
        <v>43229</v>
      </c>
      <c r="B8" s="17">
        <f t="shared" si="3"/>
        <v>19</v>
      </c>
      <c r="C8" s="18">
        <v>1.5</v>
      </c>
      <c r="D8" s="19" t="s">
        <v>5</v>
      </c>
      <c r="E8" s="14" t="s">
        <v>28</v>
      </c>
      <c r="F8" s="9" t="s">
        <v>29</v>
      </c>
    </row>
    <row r="9" spans="1:11" ht="30" x14ac:dyDescent="0.25">
      <c r="A9" s="16">
        <v>43229</v>
      </c>
      <c r="B9" s="17">
        <f t="shared" si="3"/>
        <v>19</v>
      </c>
      <c r="C9" s="18">
        <v>2.5</v>
      </c>
      <c r="D9" s="19" t="s">
        <v>8</v>
      </c>
      <c r="E9" s="14" t="s">
        <v>32</v>
      </c>
      <c r="F9" s="9"/>
    </row>
    <row r="10" spans="1:11" ht="45" x14ac:dyDescent="0.25">
      <c r="A10" s="16">
        <v>43228</v>
      </c>
      <c r="B10" s="17">
        <f t="shared" si="3"/>
        <v>19</v>
      </c>
      <c r="C10" s="18">
        <v>0.5</v>
      </c>
      <c r="D10" s="19" t="s">
        <v>6</v>
      </c>
      <c r="E10" s="14" t="s">
        <v>27</v>
      </c>
      <c r="F10" s="9"/>
    </row>
    <row r="11" spans="1:11" ht="30" x14ac:dyDescent="0.25">
      <c r="A11" s="16">
        <v>43228</v>
      </c>
      <c r="B11" s="17">
        <f t="shared" si="3"/>
        <v>19</v>
      </c>
      <c r="C11" s="18">
        <v>1</v>
      </c>
      <c r="D11" s="19" t="s">
        <v>6</v>
      </c>
      <c r="E11" s="14" t="s">
        <v>24</v>
      </c>
      <c r="F11" s="9"/>
    </row>
    <row r="12" spans="1:11" ht="30" x14ac:dyDescent="0.25">
      <c r="A12" s="16">
        <v>43228</v>
      </c>
      <c r="B12" s="17">
        <f t="shared" si="3"/>
        <v>19</v>
      </c>
      <c r="C12" s="18">
        <v>2</v>
      </c>
      <c r="D12" s="19" t="s">
        <v>6</v>
      </c>
      <c r="E12" s="14" t="s">
        <v>23</v>
      </c>
      <c r="F12" s="9"/>
    </row>
    <row r="13" spans="1:11" ht="30" x14ac:dyDescent="0.25">
      <c r="A13" s="16">
        <v>43228</v>
      </c>
      <c r="B13" s="17">
        <f t="shared" si="3"/>
        <v>19</v>
      </c>
      <c r="C13" s="18">
        <v>1</v>
      </c>
      <c r="D13" s="19" t="s">
        <v>5</v>
      </c>
      <c r="E13" s="14" t="s">
        <v>22</v>
      </c>
      <c r="F13" s="9"/>
    </row>
    <row r="14" spans="1:11" ht="30" x14ac:dyDescent="0.25">
      <c r="A14" s="16">
        <v>43229</v>
      </c>
      <c r="B14" s="17">
        <f t="shared" si="3"/>
        <v>19</v>
      </c>
      <c r="C14" s="18">
        <v>2.5</v>
      </c>
      <c r="D14" s="19" t="s">
        <v>5</v>
      </c>
      <c r="E14" s="14" t="s">
        <v>19</v>
      </c>
      <c r="F14" s="9" t="s">
        <v>20</v>
      </c>
    </row>
    <row r="15" spans="1:11" x14ac:dyDescent="0.25">
      <c r="A15" s="16">
        <v>43228</v>
      </c>
      <c r="B15" s="17">
        <f t="shared" si="3"/>
        <v>19</v>
      </c>
      <c r="C15" s="18">
        <v>1</v>
      </c>
      <c r="D15" s="19" t="s">
        <v>5</v>
      </c>
      <c r="E15" s="14" t="s">
        <v>18</v>
      </c>
      <c r="F15" s="9"/>
    </row>
    <row r="16" spans="1:11" ht="15.75" x14ac:dyDescent="0.25">
      <c r="I16" s="26" t="s">
        <v>12</v>
      </c>
      <c r="J16" s="27"/>
      <c r="K16" s="27"/>
    </row>
    <row r="17" spans="9:11" x14ac:dyDescent="0.25">
      <c r="I17" s="28" t="s">
        <v>13</v>
      </c>
      <c r="J17" s="29"/>
      <c r="K17" s="15">
        <v>0</v>
      </c>
    </row>
    <row r="18" spans="9:11" x14ac:dyDescent="0.25">
      <c r="I18" s="30" t="s">
        <v>14</v>
      </c>
      <c r="J18" s="31"/>
      <c r="K18" s="15">
        <v>8</v>
      </c>
    </row>
    <row r="19" spans="9:11" x14ac:dyDescent="0.25">
      <c r="I19" s="30" t="s">
        <v>15</v>
      </c>
      <c r="J19" s="31"/>
      <c r="K19" s="15">
        <v>6</v>
      </c>
    </row>
    <row r="20" spans="9:11" x14ac:dyDescent="0.25">
      <c r="I20" s="30" t="s">
        <v>16</v>
      </c>
      <c r="J20" s="31"/>
      <c r="K20" s="15">
        <v>9</v>
      </c>
    </row>
    <row r="21" spans="9:11" ht="15.75" thickBot="1" x14ac:dyDescent="0.3">
      <c r="I21" s="24" t="s">
        <v>17</v>
      </c>
      <c r="J21" s="25"/>
      <c r="K21" s="15">
        <v>7</v>
      </c>
    </row>
    <row r="22" spans="9:11" ht="15.75" thickBot="1" x14ac:dyDescent="0.3">
      <c r="I22" s="21" t="s">
        <v>21</v>
      </c>
      <c r="J22" s="22"/>
      <c r="K22" s="23"/>
    </row>
    <row r="24" spans="9:11" x14ac:dyDescent="0.25">
      <c r="I24" s="20" t="s">
        <v>26</v>
      </c>
      <c r="J24" s="20"/>
      <c r="K24" s="8">
        <f>SUM(K17:K21)</f>
        <v>30</v>
      </c>
    </row>
  </sheetData>
  <sheetProtection selectLockedCells="1"/>
  <mergeCells count="8">
    <mergeCell ref="I24:J24"/>
    <mergeCell ref="I22:K22"/>
    <mergeCell ref="I21:J21"/>
    <mergeCell ref="I16:K16"/>
    <mergeCell ref="I17:J17"/>
    <mergeCell ref="I18:J18"/>
    <mergeCell ref="I19:J19"/>
    <mergeCell ref="I20:J20"/>
  </mergeCells>
  <hyperlinks>
    <hyperlink ref="I22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7"/>
  <sheetViews>
    <sheetView workbookViewId="0">
      <selection activeCell="G6" sqref="G6"/>
    </sheetView>
  </sheetViews>
  <sheetFormatPr baseColWidth="10" defaultRowHeight="15" x14ac:dyDescent="0.25"/>
  <cols>
    <col min="1" max="1" width="12.5703125" customWidth="1"/>
    <col min="2" max="2" width="17" bestFit="1" customWidth="1"/>
    <col min="3" max="3" width="17.7109375" bestFit="1" customWidth="1"/>
    <col min="4" max="4" width="8" bestFit="1" customWidth="1"/>
    <col min="5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B3" t="s">
        <v>8</v>
      </c>
      <c r="C3" t="s">
        <v>6</v>
      </c>
      <c r="D3" t="s">
        <v>5</v>
      </c>
      <c r="E3" t="s">
        <v>10</v>
      </c>
    </row>
    <row r="4" spans="1:5" x14ac:dyDescent="0.25">
      <c r="A4" s="3">
        <v>43235</v>
      </c>
      <c r="B4" s="32"/>
      <c r="C4" s="32"/>
      <c r="D4" s="32"/>
      <c r="E4" s="32"/>
    </row>
    <row r="5" spans="1:5" x14ac:dyDescent="0.25">
      <c r="A5" s="3">
        <v>43229</v>
      </c>
      <c r="B5" s="32"/>
      <c r="C5" s="32"/>
      <c r="D5" s="32"/>
      <c r="E5" s="32"/>
    </row>
    <row r="6" spans="1:5" x14ac:dyDescent="0.25">
      <c r="A6" s="3">
        <v>43228</v>
      </c>
      <c r="B6" s="32"/>
      <c r="C6" s="32"/>
      <c r="D6" s="32"/>
      <c r="E6" s="32"/>
    </row>
    <row r="7" spans="1:5" x14ac:dyDescent="0.25">
      <c r="A7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2018-05-15T12:38:26Z</dcterms:modified>
</cp:coreProperties>
</file>