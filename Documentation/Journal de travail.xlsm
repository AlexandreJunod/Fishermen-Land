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</calcChain>
</file>

<file path=xl/sharedStrings.xml><?xml version="1.0" encoding="utf-8"?>
<sst xmlns="http://schemas.openxmlformats.org/spreadsheetml/2006/main" count="41" uniqueCount="30">
  <si>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</si>
  <si>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</si>
  <si>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</si>
  <si>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</si>
  <si>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</si>
  <si>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</si>
  <si>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</si>
  <si>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</si>
  <si>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</si>
  <si>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</si>
  <si>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</si>
  <si>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</si>
  <si>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</si>
  <si>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</si>
  <si>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</si>
  <si>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</si>
  <si>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</si>
  <si>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</si>
  <si>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</si>
  <si>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</si>
  <si>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</si>
  <si>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</si>
  <si>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</si>
  <si>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>6h20 (6.33h)</t>
  </si>
  <si>
    <t>0h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</si>
  <si>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</si>
  <si>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</si>
  <si>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</si>
  <si>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</si>
  <si>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Mettre à jour le journal de travail, envoyer la plnification initiale et commit le repository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</si>
</sst>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20" fontId="0" fillId="0" borderId="5" xfId="0" applyNumberFormat="1" applyBorder="1" applyAlignment="1">
      <alignment horizontal="center" vertical="center"/>
    </xf>
    <xf numFmtId="20" fontId="0" fillId="0" borderId="6" xfId="0" applyNumberFormat="1" applyBorder="1" applyAlignment="1">
      <alignment horizontal="center" vertical="center"/>
    </xf>
    <xf numFmtId="20" fontId="0" fillId="0" borderId="9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10" xfId="1" applyFill="1" applyBorder="1" applyAlignment="1" applyProtection="1">
      <alignment horizontal="center"/>
      <protection locked="0"/>
    </xf>
    <xf numFmtId="0" fontId="5" fillId="2" borderId="11" xfId="1" applyFill="1" applyBorder="1" applyAlignment="1" applyProtection="1">
      <alignment horizontal="center"/>
      <protection locked="0"/>
    </xf>
    <xf numFmtId="0" fontId="5" fillId="2" borderId="12" xfId="1" applyFill="1" applyBorder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8.58354039352" createdVersion="4" refreshedVersion="6" minRefreshableVersion="3" recordCount="61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3-08T00:00:00" count="17">
        <d v="2018-03-07T00:00:00"/>
        <d v="2018-03-06T00:00:00"/>
        <d v="2018-03-02T00:00:00"/>
        <d v="2018-03-01T00:00:00"/>
        <d v="2018-02-28T00:00:00"/>
        <d v="2018-02-27T00:00:00"/>
        <d v="2018-02-16T00:00:00"/>
        <d v="2018-02-15T00:00:00"/>
        <d v="2018-02-14T00:00:00"/>
        <d v="2018-02-13T00:00:00"/>
        <d v="2018-02-09T00:00:00"/>
        <d v="2018-02-08T00:00:00"/>
        <d v="2018-02-07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h]" numFmtId="2">
      <sharedItems containsSemiMixedTypes="0" containsString="0" containsNumber="1" minValue="0.1" maxValue="3.15"/>
    </cacheField>
    <cacheField name="Type" numFmtId="0">
      <sharedItems count="4">
        <s v="Documentation"/>
        <s v="Implémentation"/>
        <s v="Analyse"/>
        <s v="Tes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n v="10"/>
    <n v="0.75"/>
    <x v="0"/>
  </r>
  <r>
    <x v="1"/>
    <n v="10"/>
    <n v="1"/>
    <x v="1"/>
  </r>
  <r>
    <x v="1"/>
    <n v="10"/>
    <n v="0.75"/>
    <x v="0"/>
  </r>
  <r>
    <x v="1"/>
    <n v="10"/>
    <n v="0.5"/>
    <x v="1"/>
  </r>
  <r>
    <x v="1"/>
    <n v="10"/>
    <n v="0.5"/>
    <x v="1"/>
  </r>
  <r>
    <x v="1"/>
    <n v="10"/>
    <n v="1"/>
    <x v="1"/>
  </r>
  <r>
    <x v="1"/>
    <n v="10"/>
    <n v="0.75"/>
    <x v="1"/>
  </r>
  <r>
    <x v="2"/>
    <n v="9"/>
    <n v="0.2"/>
    <x v="1"/>
  </r>
  <r>
    <x v="2"/>
    <n v="9"/>
    <n v="0.5"/>
    <x v="1"/>
  </r>
  <r>
    <x v="2"/>
    <n v="9"/>
    <n v="1"/>
    <x v="0"/>
  </r>
  <r>
    <x v="2"/>
    <n v="9"/>
    <n v="0.3"/>
    <x v="0"/>
  </r>
  <r>
    <x v="2"/>
    <n v="9"/>
    <n v="1"/>
    <x v="0"/>
  </r>
  <r>
    <x v="3"/>
    <n v="9"/>
    <n v="3.15"/>
    <x v="0"/>
  </r>
  <r>
    <x v="4"/>
    <n v="9"/>
    <n v="1.65"/>
    <x v="1"/>
  </r>
  <r>
    <x v="5"/>
    <n v="9"/>
    <n v="0.75"/>
    <x v="0"/>
  </r>
  <r>
    <x v="5"/>
    <n v="9"/>
    <n v="0.5"/>
    <x v="0"/>
  </r>
  <r>
    <x v="5"/>
    <n v="9"/>
    <n v="1"/>
    <x v="0"/>
  </r>
  <r>
    <x v="5"/>
    <n v="9"/>
    <n v="0.1"/>
    <x v="1"/>
  </r>
  <r>
    <x v="5"/>
    <n v="9"/>
    <n v="0.35"/>
    <x v="2"/>
  </r>
  <r>
    <x v="5"/>
    <n v="9"/>
    <n v="0.5"/>
    <x v="2"/>
  </r>
  <r>
    <x v="5"/>
    <n v="9"/>
    <n v="0.65"/>
    <x v="0"/>
  </r>
  <r>
    <x v="5"/>
    <n v="9"/>
    <n v="0.35"/>
    <x v="2"/>
  </r>
  <r>
    <x v="5"/>
    <n v="9"/>
    <n v="1"/>
    <x v="0"/>
  </r>
  <r>
    <x v="6"/>
    <n v="7"/>
    <n v="1.3"/>
    <x v="0"/>
  </r>
  <r>
    <x v="6"/>
    <n v="7"/>
    <n v="0.5"/>
    <x v="1"/>
  </r>
  <r>
    <x v="6"/>
    <n v="7"/>
    <n v="0.5"/>
    <x v="2"/>
  </r>
  <r>
    <x v="6"/>
    <n v="7"/>
    <n v="0.5"/>
    <x v="3"/>
  </r>
  <r>
    <x v="7"/>
    <n v="7"/>
    <n v="0.7"/>
    <x v="0"/>
  </r>
  <r>
    <x v="7"/>
    <n v="7"/>
    <n v="1.3"/>
    <x v="2"/>
  </r>
  <r>
    <x v="7"/>
    <n v="7"/>
    <n v="1"/>
    <x v="2"/>
  </r>
  <r>
    <x v="8"/>
    <n v="7"/>
    <n v="1.5"/>
    <x v="2"/>
  </r>
  <r>
    <x v="8"/>
    <n v="7"/>
    <n v="0.75"/>
    <x v="2"/>
  </r>
  <r>
    <x v="9"/>
    <n v="7"/>
    <n v="1.1000000000000001"/>
    <x v="2"/>
  </r>
  <r>
    <x v="9"/>
    <n v="7"/>
    <n v="2"/>
    <x v="1"/>
  </r>
  <r>
    <x v="9"/>
    <n v="7"/>
    <n v="1.05"/>
    <x v="0"/>
  </r>
  <r>
    <x v="10"/>
    <n v="6"/>
    <n v="1"/>
    <x v="2"/>
  </r>
  <r>
    <x v="10"/>
    <n v="6"/>
    <n v="0.5"/>
    <x v="0"/>
  </r>
  <r>
    <x v="10"/>
    <n v="6"/>
    <n v="1"/>
    <x v="2"/>
  </r>
  <r>
    <x v="10"/>
    <n v="6"/>
    <n v="0.5"/>
    <x v="1"/>
  </r>
  <r>
    <x v="11"/>
    <n v="6"/>
    <n v="0.5"/>
    <x v="1"/>
  </r>
  <r>
    <x v="11"/>
    <n v="6"/>
    <n v="2"/>
    <x v="2"/>
  </r>
  <r>
    <x v="11"/>
    <n v="6"/>
    <n v="0.5"/>
    <x v="2"/>
  </r>
  <r>
    <x v="12"/>
    <n v="6"/>
    <n v="0.5"/>
    <x v="2"/>
  </r>
  <r>
    <x v="12"/>
    <n v="6"/>
    <n v="0.5"/>
    <x v="3"/>
  </r>
  <r>
    <x v="12"/>
    <n v="6"/>
    <n v="1"/>
    <x v="3"/>
  </r>
  <r>
    <x v="12"/>
    <n v="6"/>
    <n v="0.5"/>
    <x v="0"/>
  </r>
  <r>
    <x v="13"/>
    <n v="6"/>
    <n v="1"/>
    <x v="2"/>
  </r>
  <r>
    <x v="13"/>
    <n v="6"/>
    <n v="0.5"/>
    <x v="0"/>
  </r>
  <r>
    <x v="13"/>
    <n v="6"/>
    <n v="0.5"/>
    <x v="1"/>
  </r>
  <r>
    <x v="13"/>
    <n v="6"/>
    <n v="0.75"/>
    <x v="2"/>
  </r>
  <r>
    <x v="13"/>
    <n v="6"/>
    <n v="1"/>
    <x v="1"/>
  </r>
  <r>
    <x v="13"/>
    <n v="6"/>
    <n v="1"/>
    <x v="2"/>
  </r>
  <r>
    <x v="14"/>
    <n v="5"/>
    <n v="1"/>
    <x v="2"/>
  </r>
  <r>
    <x v="14"/>
    <n v="5"/>
    <n v="0.5"/>
    <x v="2"/>
  </r>
  <r>
    <x v="14"/>
    <n v="5"/>
    <n v="1"/>
    <x v="2"/>
  </r>
  <r>
    <x v="14"/>
    <n v="5"/>
    <n v="0.5"/>
    <x v="2"/>
  </r>
  <r>
    <x v="14"/>
    <n v="5"/>
    <n v="0.5"/>
    <x v="2"/>
  </r>
  <r>
    <x v="15"/>
    <n v="5"/>
    <n v="1"/>
    <x v="2"/>
  </r>
  <r>
    <x v="15"/>
    <n v="5"/>
    <n v="0.5"/>
    <x v="1"/>
  </r>
  <r>
    <x v="15"/>
    <n v="5"/>
    <n v="0.5"/>
    <x v="1"/>
  </r>
  <r>
    <x v="15"/>
    <n v="5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1" firstHeaderRow="1" firstDataRow="2" firstDataCol="1"/>
  <pivotFields count="4">
    <pivotField axis="axisRow" numFmtId="16" showAll="0">
      <items count="18">
        <item m="1" x="16"/>
        <item x="11"/>
        <item x="12"/>
        <item x="13"/>
        <item x="14"/>
        <item x="15"/>
        <item x="6"/>
        <item x="7"/>
        <item x="8"/>
        <item x="9"/>
        <item x="10"/>
        <item x="5"/>
        <item x="4"/>
        <item x="2"/>
        <item x="3"/>
        <item x="0"/>
        <item x="1"/>
        <item t="default"/>
      </items>
    </pivotField>
    <pivotField showAll="0"/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1">
    <field x="0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4"/>
  <sheetViews>
    <sheetView tabSelected="1" workbookViewId="0">
      <selection activeCell="E24" sqref="E24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10.7109375" style="15" customWidth="1"/>
    <col min="4" max="4" width="15.42578125" style="8" bestFit="1" customWidth="1"/>
    <col min="5" max="5" width="88.42578125" style="16" customWidth="1"/>
    <col min="6" max="6" width="75.140625" style="16" customWidth="1"/>
    <col min="7" max="10" width="9.140625" style="11"/>
    <col min="11" max="11" width="19.85546875" style="11" customWidth="1"/>
    <col min="12" max="16384" width="9.140625" style="11"/>
  </cols>
  <sheetData>
    <row r="1" spans="1:11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11" ht="30" x14ac:dyDescent="0.25">
      <c r="A2" s="7">
        <v>43209</v>
      </c>
      <c r="B2" s="18">
        <f>WEEKNUM(A2)</f>
        <v>16</v>
      </c>
      <c r="C2" s="12">
        <v>0.83</v>
      </c>
      <c r="D2" s="13" t="s">
        <v>7</v>
      </c>
      <c r="E2" s="23" t="s">
        <v>29</v>
      </c>
      <c r="F2" s="14"/>
    </row>
    <row r="3" spans="1:11" x14ac:dyDescent="0.25">
      <c r="A3" s="7">
        <v>43209</v>
      </c>
      <c r="B3" s="18">
        <f>WEEKNUM(A3)</f>
        <v>16</v>
      </c>
      <c r="C3" s="12">
        <v>0.5</v>
      </c>
      <c r="D3" s="13" t="s">
        <v>7</v>
      </c>
      <c r="E3" s="23" t="s">
        <v>28</v>
      </c>
      <c r="F3" s="14"/>
    </row>
    <row r="4" spans="1:11" x14ac:dyDescent="0.25">
      <c r="A4" s="7">
        <v>43209</v>
      </c>
      <c r="B4" s="18">
        <f>WEEKNUM(A4)</f>
        <v>16</v>
      </c>
      <c r="C4" s="12">
        <v>1.5</v>
      </c>
      <c r="D4" s="13" t="s">
        <v>7</v>
      </c>
      <c r="E4" s="23" t="s">
        <v>27</v>
      </c>
      <c r="F4" s="14"/>
    </row>
    <row r="5" spans="1:11" x14ac:dyDescent="0.25">
      <c r="A5" s="7">
        <v>43209</v>
      </c>
      <c r="B5" s="18">
        <f>WEEKNUM(A5)</f>
        <v>16</v>
      </c>
      <c r="C5" s="12">
        <v>1</v>
      </c>
      <c r="D5" s="13" t="s">
        <v>6</v>
      </c>
      <c r="E5" s="23" t="s">
        <v>26</v>
      </c>
      <c r="F5" s="14"/>
    </row>
    <row r="6" spans="1:11" x14ac:dyDescent="0.25">
      <c r="A6" s="7">
        <v>43209</v>
      </c>
      <c r="B6" s="18">
        <f>WEEKNUM(A6)</f>
        <v>16</v>
      </c>
      <c r="C6" s="12">
        <v>2</v>
      </c>
      <c r="D6" s="13" t="s">
        <v>6</v>
      </c>
      <c r="E6" s="23" t="s">
        <v>21</v>
      </c>
      <c r="F6" s="14" t="s">
        <v>22</v>
      </c>
    </row>
    <row r="7" spans="1:11" x14ac:dyDescent="0.25">
      <c r="A7" s="7">
        <v>43209</v>
      </c>
      <c r="B7" s="18">
        <f>WEEKNUM(A7)</f>
        <v>16</v>
      </c>
      <c r="C7" s="12">
        <v>0.5</v>
      </c>
      <c r="D7" s="13" t="s">
        <v>6</v>
      </c>
      <c r="E7" s="23" t="s">
        <v>20</v>
      </c>
      <c r="F7" s="14"/>
    </row>
    <row r="8" spans="1:11" ht="15.75" x14ac:dyDescent="0.25">
      <c r="I8" s="26" t="s">
        <v>14</v>
      </c>
      <c r="J8" s="27"/>
      <c r="K8" s="27"/>
    </row>
    <row r="9" spans="1:11" x14ac:dyDescent="0.25">
      <c r="I9" s="28" t="s">
        <v>15</v>
      </c>
      <c r="J9" s="29"/>
      <c r="K9" s="20" t="s">
        <v>24</v>
      </c>
    </row>
    <row r="10" spans="1:11" x14ac:dyDescent="0.25">
      <c r="I10" s="30" t="s">
        <v>16</v>
      </c>
      <c r="J10" s="31"/>
      <c r="K10" s="20" t="s">
        <v>23</v>
      </c>
    </row>
    <row r="11" spans="1:11" x14ac:dyDescent="0.25">
      <c r="I11" s="30" t="s">
        <v>17</v>
      </c>
      <c r="J11" s="31"/>
      <c r="K11" s="21"/>
    </row>
    <row r="12" spans="1:11" x14ac:dyDescent="0.25">
      <c r="I12" s="30" t="s">
        <v>18</v>
      </c>
      <c r="J12" s="31"/>
      <c r="K12" s="21"/>
    </row>
    <row r="13" spans="1:11" ht="15.75" thickBot="1" x14ac:dyDescent="0.3">
      <c r="I13" s="24" t="s">
        <v>19</v>
      </c>
      <c r="J13" s="25"/>
      <c r="K13" s="22"/>
    </row>
    <row r="14" spans="1:11" ht="15.75" thickBot="1" x14ac:dyDescent="0.3">
      <c r="I14" s="32" t="s">
        <v>25</v>
      </c>
      <c r="J14" s="33"/>
      <c r="K14" s="34"/>
    </row>
  </sheetData>
  <sheetProtection selectLockedCells="1"/>
  <mergeCells count="7">
    <mergeCell ref="I14:K14"/>
    <mergeCell ref="I13:J13"/>
    <mergeCell ref="I8:K8"/>
    <mergeCell ref="I9:J9"/>
    <mergeCell ref="I10:J10"/>
    <mergeCell ref="I11:J11"/>
    <mergeCell ref="I12:J12"/>
  </mergeCells>
  <hyperlinks>
    <hyperlink ref="I14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1"/>
  <sheetViews>
    <sheetView workbookViewId="0">
      <selection activeCell="C18" sqref="C18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5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4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8</v>
      </c>
      <c r="F4" t="s">
        <v>11</v>
      </c>
    </row>
    <row r="5" spans="1:6" x14ac:dyDescent="0.25">
      <c r="A5" s="5">
        <v>43139</v>
      </c>
      <c r="B5" s="3"/>
      <c r="C5" s="3">
        <v>0.5</v>
      </c>
      <c r="D5" s="3">
        <v>2.5</v>
      </c>
      <c r="E5" s="3"/>
      <c r="F5" s="3">
        <v>3</v>
      </c>
    </row>
    <row r="6" spans="1:6" x14ac:dyDescent="0.25">
      <c r="A6" s="5">
        <v>43138</v>
      </c>
      <c r="B6" s="3">
        <v>0.5</v>
      </c>
      <c r="C6" s="3"/>
      <c r="D6" s="3">
        <v>0.5</v>
      </c>
      <c r="E6" s="3">
        <v>1.5</v>
      </c>
      <c r="F6" s="3">
        <v>2.5</v>
      </c>
    </row>
    <row r="7" spans="1:6" x14ac:dyDescent="0.25">
      <c r="A7" s="5">
        <v>43137</v>
      </c>
      <c r="B7" s="3">
        <v>0.5</v>
      </c>
      <c r="C7" s="3">
        <v>1.5</v>
      </c>
      <c r="D7" s="3">
        <v>2.75</v>
      </c>
      <c r="E7" s="3"/>
      <c r="F7" s="3">
        <v>4.75</v>
      </c>
    </row>
    <row r="8" spans="1:6" x14ac:dyDescent="0.25">
      <c r="A8" s="5">
        <v>43133</v>
      </c>
      <c r="B8" s="3"/>
      <c r="C8" s="3"/>
      <c r="D8" s="3">
        <v>3.5</v>
      </c>
      <c r="E8" s="3"/>
      <c r="F8" s="3">
        <v>3.5</v>
      </c>
    </row>
    <row r="9" spans="1:6" x14ac:dyDescent="0.25">
      <c r="A9" s="5">
        <v>43132</v>
      </c>
      <c r="B9" s="3"/>
      <c r="C9" s="3">
        <v>1</v>
      </c>
      <c r="D9" s="3">
        <v>2</v>
      </c>
      <c r="E9" s="3"/>
      <c r="F9" s="3">
        <v>3</v>
      </c>
    </row>
    <row r="10" spans="1:6" x14ac:dyDescent="0.25">
      <c r="A10" s="5">
        <v>43147</v>
      </c>
      <c r="B10" s="3">
        <v>1.3</v>
      </c>
      <c r="C10" s="3">
        <v>0.5</v>
      </c>
      <c r="D10" s="3">
        <v>0.5</v>
      </c>
      <c r="E10" s="3">
        <v>0.5</v>
      </c>
      <c r="F10" s="3">
        <v>2.8</v>
      </c>
    </row>
    <row r="11" spans="1:6" x14ac:dyDescent="0.25">
      <c r="A11" s="5">
        <v>43146</v>
      </c>
      <c r="B11" s="3">
        <v>0.7</v>
      </c>
      <c r="C11" s="3"/>
      <c r="D11" s="3">
        <v>2.2999999999999998</v>
      </c>
      <c r="E11" s="3"/>
      <c r="F11" s="3">
        <v>3</v>
      </c>
    </row>
    <row r="12" spans="1:6" x14ac:dyDescent="0.25">
      <c r="A12" s="5">
        <v>43145</v>
      </c>
      <c r="B12" s="3"/>
      <c r="C12" s="3"/>
      <c r="D12" s="3">
        <v>2.25</v>
      </c>
      <c r="E12" s="3"/>
      <c r="F12" s="3">
        <v>2.25</v>
      </c>
    </row>
    <row r="13" spans="1:6" x14ac:dyDescent="0.25">
      <c r="A13" s="5">
        <v>43144</v>
      </c>
      <c r="B13" s="3">
        <v>1.05</v>
      </c>
      <c r="C13" s="3">
        <v>2</v>
      </c>
      <c r="D13" s="3">
        <v>1.1000000000000001</v>
      </c>
      <c r="E13" s="3"/>
      <c r="F13" s="3">
        <v>4.1500000000000004</v>
      </c>
    </row>
    <row r="14" spans="1:6" x14ac:dyDescent="0.25">
      <c r="A14" s="5">
        <v>43140</v>
      </c>
      <c r="B14" s="3">
        <v>0.5</v>
      </c>
      <c r="C14" s="3">
        <v>0.5</v>
      </c>
      <c r="D14" s="3">
        <v>2</v>
      </c>
      <c r="E14" s="3"/>
      <c r="F14" s="3">
        <v>3</v>
      </c>
    </row>
    <row r="15" spans="1:6" x14ac:dyDescent="0.25">
      <c r="A15" s="5">
        <v>43158</v>
      </c>
      <c r="B15" s="3">
        <v>3.9</v>
      </c>
      <c r="C15" s="3">
        <v>0.1</v>
      </c>
      <c r="D15" s="3">
        <v>1.2</v>
      </c>
      <c r="E15" s="3"/>
      <c r="F15" s="3">
        <v>5.2</v>
      </c>
    </row>
    <row r="16" spans="1:6" x14ac:dyDescent="0.25">
      <c r="A16" s="5">
        <v>43159</v>
      </c>
      <c r="B16" s="3"/>
      <c r="C16" s="3">
        <v>1.65</v>
      </c>
      <c r="D16" s="3"/>
      <c r="E16" s="3"/>
      <c r="F16" s="3">
        <v>1.65</v>
      </c>
    </row>
    <row r="17" spans="1:6" x14ac:dyDescent="0.25">
      <c r="A17" s="5">
        <v>43161</v>
      </c>
      <c r="B17" s="3">
        <v>2.2999999999999998</v>
      </c>
      <c r="C17" s="3">
        <v>0.7</v>
      </c>
      <c r="D17" s="3"/>
      <c r="E17" s="3"/>
      <c r="F17" s="3">
        <v>3</v>
      </c>
    </row>
    <row r="18" spans="1:6" x14ac:dyDescent="0.25">
      <c r="A18" s="5">
        <v>43160</v>
      </c>
      <c r="B18" s="3">
        <v>3.15</v>
      </c>
      <c r="C18" s="3"/>
      <c r="D18" s="3"/>
      <c r="E18" s="3"/>
      <c r="F18" s="3">
        <v>3.15</v>
      </c>
    </row>
    <row r="19" spans="1:6" x14ac:dyDescent="0.25">
      <c r="A19" s="5">
        <v>43166</v>
      </c>
      <c r="B19" s="3">
        <v>0.75</v>
      </c>
      <c r="C19" s="3"/>
      <c r="D19" s="3"/>
      <c r="E19" s="3"/>
      <c r="F19" s="3">
        <v>0.75</v>
      </c>
    </row>
    <row r="20" spans="1:6" x14ac:dyDescent="0.25">
      <c r="A20" s="5">
        <v>43165</v>
      </c>
      <c r="B20" s="3">
        <v>0.75</v>
      </c>
      <c r="C20" s="3">
        <v>3.75</v>
      </c>
      <c r="D20" s="3"/>
      <c r="E20" s="3"/>
      <c r="F20" s="3">
        <v>4.5</v>
      </c>
    </row>
    <row r="21" spans="1:6" x14ac:dyDescent="0.25">
      <c r="A21" s="5" t="s">
        <v>11</v>
      </c>
      <c r="B21" s="3">
        <v>15.4</v>
      </c>
      <c r="C21" s="3">
        <v>12.2</v>
      </c>
      <c r="D21" s="3">
        <v>20.6</v>
      </c>
      <c r="E21" s="3">
        <v>2</v>
      </c>
      <c r="F21" s="3">
        <v>50.2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2018-05-08T14:52:27Z</dcterms:modified>
</cp:coreProperties>
</file>